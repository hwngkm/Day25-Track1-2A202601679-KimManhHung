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comments/comment1.xml" ContentType="application/vnd.openxmlformats-officedocument.spreadsheetml.comments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xWindow="0" yWindow="0" windowWidth="16384" windowHeight="8192" tabRatio="500" firstSheet="0" activeTab="0" autoFilterDateGrouping="1"/>
  </bookViews>
  <sheets>
    <sheet xmlns:r="http://schemas.openxmlformats.org/officeDocument/2006/relationships" name="0_README" sheetId="1" state="visible" r:id="rId1"/>
    <sheet xmlns:r="http://schemas.openxmlformats.org/officeDocument/2006/relationships" name="1_Cost_Job" sheetId="2" state="visible" r:id="rId2"/>
    <sheet xmlns:r="http://schemas.openxmlformats.org/officeDocument/2006/relationships" name="2_Pricing" sheetId="3" state="visible" r:id="rId3"/>
    <sheet xmlns:r="http://schemas.openxmlformats.org/officeDocument/2006/relationships" name="3_Value_Metric" sheetId="4" state="visible" r:id="rId4"/>
    <sheet xmlns:r="http://schemas.openxmlformats.org/officeDocument/2006/relationships" name="4_Channel_Fit" sheetId="5" state="visible" r:id="rId5"/>
    <sheet xmlns:r="http://schemas.openxmlformats.org/officeDocument/2006/relationships" name="5_90Day_Plan" sheetId="6" state="visible" r:id="rId6"/>
    <sheet xmlns:r="http://schemas.openxmlformats.org/officeDocument/2006/relationships" name="6_Benchmarks" sheetId="7" state="visible" r:id="rId7"/>
  </sheets>
  <definedNames/>
  <calcPr calcId="124519" fullCalcOnLoad="1" refMode="A1" iterate="0" iterateCount="100" iterateDelta="0.0001"/>
</workbook>
</file>

<file path=xl/styles.xml><?xml version="1.0" encoding="utf-8"?>
<styleSheet xmlns="http://schemas.openxmlformats.org/spreadsheetml/2006/main">
  <numFmts count="7">
    <numFmt numFmtId="164" formatCode="0.0%"/>
    <numFmt numFmtId="165" formatCode="\$#,##0.00"/>
    <numFmt numFmtId="166" formatCode="\$#,##0.0000"/>
    <numFmt numFmtId="167" formatCode="#,##0.0"/>
    <numFmt numFmtId="168" formatCode="#,##0&quot; ₫&quot;"/>
    <numFmt numFmtId="169" formatCode="\$#,##0"/>
    <numFmt numFmtId="170" formatCode="#,##0.0\×"/>
  </numFmts>
  <fonts count="14">
    <font>
      <name val="Calibri"/>
      <charset val="1"/>
      <family val="2"/>
      <color theme="1"/>
      <sz val="11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  <font>
      <name val="Arial"/>
      <charset val="1"/>
      <family val="0"/>
      <b val="1"/>
      <color rgb="FFFFFFFF"/>
      <sz val="14"/>
    </font>
    <font>
      <name val="Arial"/>
      <charset val="1"/>
      <family val="0"/>
      <i val="1"/>
      <color rgb="FF666666"/>
      <sz val="9"/>
    </font>
    <font>
      <name val="Arial"/>
      <charset val="1"/>
      <family val="0"/>
      <b val="1"/>
      <color rgb="FF1F2937"/>
      <sz val="11"/>
    </font>
    <font>
      <name val="Arial"/>
      <charset val="1"/>
      <family val="0"/>
      <color rgb="FF0000FF"/>
      <sz val="10"/>
    </font>
    <font>
      <name val="Arial"/>
      <charset val="1"/>
      <family val="0"/>
      <sz val="10"/>
    </font>
    <font>
      <name val="Arial"/>
      <charset val="1"/>
      <family val="0"/>
      <color rgb="FF008000"/>
      <sz val="10"/>
    </font>
    <font>
      <name val="Arial"/>
      <charset val="1"/>
      <family val="0"/>
      <b val="1"/>
      <sz val="10"/>
    </font>
    <font>
      <name val="Arial"/>
      <charset val="1"/>
      <family val="0"/>
      <b val="1"/>
      <color rgb="FFC00000"/>
      <sz val="11"/>
    </font>
    <font>
      <name val="Arial"/>
      <family val="2"/>
      <sz val="10"/>
    </font>
    <font>
      <name val="Arial"/>
      <charset val="1"/>
      <family val="0"/>
      <b val="1"/>
      <color rgb="FFFFFFFF"/>
      <sz val="10"/>
    </font>
  </fonts>
  <fills count="7">
    <fill>
      <patternFill/>
    </fill>
    <fill>
      <patternFill patternType="gray125"/>
    </fill>
    <fill>
      <patternFill patternType="solid">
        <fgColor rgb="FF1F2937"/>
        <bgColor rgb="FF333300"/>
      </patternFill>
    </fill>
    <fill>
      <patternFill patternType="solid">
        <fgColor rgb="FFFFF2CC"/>
        <bgColor rgb="FFF2F2F2"/>
      </patternFill>
    </fill>
    <fill>
      <patternFill patternType="solid">
        <fgColor rgb="FFF2F2F2"/>
        <bgColor rgb="FFEDEDED"/>
      </patternFill>
    </fill>
    <fill>
      <patternFill patternType="solid">
        <fgColor rgb="FFEDEDED"/>
        <bgColor rgb="FFE8EAF6"/>
      </patternFill>
    </fill>
    <fill>
      <patternFill patternType="solid">
        <fgColor rgb="FFE8EAF6"/>
        <bgColor rgb="FFEDEDED"/>
      </patternFill>
    </fill>
  </fills>
  <borders count="2">
    <border>
      <left/>
      <right/>
      <top/>
      <bottom/>
      <diagonal/>
    </border>
    <border>
      <left style="thin">
        <color rgb="FFD0D0D0"/>
      </left>
      <right style="thin">
        <color rgb="FFD0D0D0"/>
      </right>
      <top style="thin">
        <color rgb="FFD0D0D0"/>
      </top>
      <bottom style="thin">
        <color rgb="FFD0D0D0"/>
      </bottom>
      <diagonal/>
    </border>
  </borders>
  <cellStyleXfs count="6">
    <xf numFmtId="0" fontId="0" fillId="0" borderId="0" applyAlignment="1">
      <alignment horizontal="general" vertical="bottom"/>
    </xf>
    <xf numFmtId="43" fontId="3" fillId="0" borderId="0"/>
    <xf numFmtId="41" fontId="3" fillId="0" borderId="0"/>
    <xf numFmtId="44" fontId="3" fillId="0" borderId="0"/>
    <xf numFmtId="42" fontId="3" fillId="0" borderId="0"/>
    <xf numFmtId="9" fontId="3" fillId="0" borderId="0"/>
  </cellStyleXfs>
  <cellXfs count="87">
    <xf numFmtId="0" fontId="0" fillId="0" borderId="0" applyAlignment="1" pivotButton="0" quotePrefix="0" xfId="0">
      <alignment horizontal="general" vertical="bottom"/>
    </xf>
    <xf numFmtId="0" fontId="4" fillId="2" borderId="0" applyAlignment="1" pivotButton="0" quotePrefix="0" xfId="0">
      <alignment horizontal="general" vertical="bottom"/>
    </xf>
    <xf numFmtId="0" fontId="0" fillId="2" borderId="0" applyAlignment="1" pivotButton="0" quotePrefix="0" xfId="0">
      <alignment horizontal="general" vertical="bottom"/>
    </xf>
    <xf numFmtId="0" fontId="5" fillId="0" borderId="0" applyAlignment="1" pivotButton="0" quotePrefix="0" xfId="0">
      <alignment horizontal="general" vertical="bottom"/>
    </xf>
    <xf numFmtId="0" fontId="6" fillId="0" borderId="0" applyAlignment="1" pivotButton="0" quotePrefix="0" xfId="0">
      <alignment horizontal="general" vertical="bottom"/>
    </xf>
    <xf numFmtId="0" fontId="7" fillId="3" borderId="1" applyAlignment="1" pivotButton="0" quotePrefix="0" xfId="0">
      <alignment horizontal="general" vertical="bottom"/>
    </xf>
    <xf numFmtId="0" fontId="8" fillId="0" borderId="0" applyAlignment="1" pivotButton="0" quotePrefix="0" xfId="0">
      <alignment horizontal="general" vertical="bottom"/>
    </xf>
    <xf numFmtId="0" fontId="8" fillId="4" borderId="1" applyAlignment="1" pivotButton="0" quotePrefix="0" xfId="0">
      <alignment horizontal="general" vertical="bottom"/>
    </xf>
    <xf numFmtId="0" fontId="9" fillId="0" borderId="1" applyAlignment="1" pivotButton="0" quotePrefix="0" xfId="0">
      <alignment horizontal="general" vertical="bottom"/>
    </xf>
    <xf numFmtId="0" fontId="8" fillId="5" borderId="1" applyAlignment="1" pivotButton="0" quotePrefix="0" xfId="0">
      <alignment horizontal="general" vertical="bottom"/>
    </xf>
    <xf numFmtId="0" fontId="10" fillId="0" borderId="0" applyAlignment="1" pivotButton="0" quotePrefix="0" xfId="0">
      <alignment horizontal="general" vertical="bottom"/>
    </xf>
    <xf numFmtId="0" fontId="6" fillId="6" borderId="0" applyAlignment="1" pivotButton="0" quotePrefix="0" xfId="0">
      <alignment horizontal="general" vertical="bottom"/>
    </xf>
    <xf numFmtId="0" fontId="0" fillId="6" borderId="0" applyAlignment="1" pivotButton="0" quotePrefix="0" xfId="0">
      <alignment horizontal="general" vertical="bottom"/>
    </xf>
    <xf numFmtId="0" fontId="7" fillId="3" borderId="1" applyAlignment="1" pivotButton="0" quotePrefix="0" xfId="0">
      <alignment horizontal="center" vertical="bottom"/>
    </xf>
    <xf numFmtId="3" fontId="7" fillId="3" borderId="1" applyAlignment="1" pivotButton="0" quotePrefix="0" xfId="0">
      <alignment horizontal="general" vertical="bottom"/>
    </xf>
    <xf numFmtId="164" fontId="7" fillId="3" borderId="1" applyAlignment="1" pivotButton="0" quotePrefix="0" xfId="0">
      <alignment horizontal="general" vertical="bottom"/>
    </xf>
    <xf numFmtId="3" fontId="8" fillId="4" borderId="1" applyAlignment="1" pivotButton="0" quotePrefix="0" xfId="0">
      <alignment horizontal="general" vertical="bottom"/>
    </xf>
    <xf numFmtId="165" fontId="7" fillId="3" borderId="1" applyAlignment="1" pivotButton="0" quotePrefix="0" xfId="0">
      <alignment horizontal="general" vertical="bottom"/>
    </xf>
    <xf numFmtId="166" fontId="8" fillId="4" borderId="1" applyAlignment="1" pivotButton="0" quotePrefix="0" xfId="0">
      <alignment horizontal="general" vertical="bottom"/>
    </xf>
    <xf numFmtId="166" fontId="11" fillId="4" borderId="1" applyAlignment="1" pivotButton="0" quotePrefix="0" xfId="0">
      <alignment horizontal="general" vertical="bottom"/>
    </xf>
    <xf numFmtId="164" fontId="8" fillId="4" borderId="1" applyAlignment="1" pivotButton="0" quotePrefix="0" xfId="0">
      <alignment horizontal="general" vertical="bottom"/>
    </xf>
    <xf numFmtId="166" fontId="7" fillId="3" borderId="1" applyAlignment="1" pivotButton="0" quotePrefix="0" xfId="0">
      <alignment horizontal="general" vertical="bottom"/>
    </xf>
    <xf numFmtId="167" fontId="7" fillId="3" borderId="1" applyAlignment="1" pivotButton="0" quotePrefix="0" xfId="0">
      <alignment horizontal="general" vertical="bottom"/>
    </xf>
    <xf numFmtId="165" fontId="8" fillId="4" borderId="1" applyAlignment="1" pivotButton="0" quotePrefix="0" xfId="0">
      <alignment horizontal="general" vertical="bottom"/>
    </xf>
    <xf numFmtId="165" fontId="11" fillId="4" borderId="1" applyAlignment="1" pivotButton="0" quotePrefix="0" xfId="0">
      <alignment horizontal="general" vertical="bottom"/>
    </xf>
    <xf numFmtId="168" fontId="8" fillId="4" borderId="1" applyAlignment="1" pivotButton="0" quotePrefix="0" xfId="0">
      <alignment horizontal="general" vertical="bottom"/>
    </xf>
    <xf numFmtId="166" fontId="9" fillId="4" borderId="1" applyAlignment="1" pivotButton="0" quotePrefix="0" xfId="0">
      <alignment horizontal="general" vertical="bottom"/>
    </xf>
    <xf numFmtId="169" fontId="7" fillId="3" borderId="1" applyAlignment="1" pivotButton="0" quotePrefix="0" xfId="0">
      <alignment horizontal="general" vertical="bottom"/>
    </xf>
    <xf numFmtId="170" fontId="8" fillId="4" borderId="1" applyAlignment="1" pivotButton="0" quotePrefix="0" xfId="0">
      <alignment horizontal="general" vertical="bottom"/>
    </xf>
    <xf numFmtId="164" fontId="11" fillId="4" borderId="1" applyAlignment="1" pivotButton="0" quotePrefix="0" xfId="0">
      <alignment horizontal="general" vertical="bottom"/>
    </xf>
    <xf numFmtId="164" fontId="9" fillId="4" borderId="1" applyAlignment="1" pivotButton="0" quotePrefix="0" xfId="0">
      <alignment horizontal="general" vertical="bottom"/>
    </xf>
    <xf numFmtId="0" fontId="10" fillId="5" borderId="1" applyAlignment="1" pivotButton="0" quotePrefix="0" xfId="0">
      <alignment horizontal="general" vertical="bottom"/>
    </xf>
    <xf numFmtId="164" fontId="8" fillId="5" borderId="1" applyAlignment="1" pivotButton="0" quotePrefix="0" xfId="0">
      <alignment horizontal="general" vertical="bottom"/>
    </xf>
    <xf numFmtId="3" fontId="11" fillId="4" borderId="1" applyAlignment="1" pivotButton="0" quotePrefix="0" xfId="0">
      <alignment horizontal="general" vertical="bottom"/>
    </xf>
    <xf numFmtId="0" fontId="11" fillId="4" borderId="1" applyAlignment="1" pivotButton="0" quotePrefix="0" xfId="0">
      <alignment horizontal="general" vertical="bottom"/>
    </xf>
    <xf numFmtId="169" fontId="11" fillId="4" borderId="1" applyAlignment="1" pivotButton="0" quotePrefix="0" xfId="0">
      <alignment horizontal="general" vertical="bottom"/>
    </xf>
    <xf numFmtId="169" fontId="8" fillId="4" borderId="1" applyAlignment="1" pivotButton="0" quotePrefix="0" xfId="0">
      <alignment horizontal="general" vertical="bottom"/>
    </xf>
    <xf numFmtId="4" fontId="11" fillId="4" borderId="1" applyAlignment="1" pivotButton="0" quotePrefix="0" xfId="0">
      <alignment horizontal="general" vertical="bottom"/>
    </xf>
    <xf numFmtId="170" fontId="11" fillId="4" borderId="1" applyAlignment="1" pivotButton="0" quotePrefix="0" xfId="0">
      <alignment horizontal="general" vertical="bottom"/>
    </xf>
    <xf numFmtId="0" fontId="7" fillId="3" borderId="1" applyAlignment="1" pivotButton="0" quotePrefix="0" xfId="0">
      <alignment horizontal="general" vertical="top" wrapText="1"/>
    </xf>
    <xf numFmtId="0" fontId="13" fillId="2" borderId="1" applyAlignment="1" pivotButton="0" quotePrefix="0" xfId="0">
      <alignment horizontal="general" vertical="bottom"/>
    </xf>
    <xf numFmtId="0" fontId="8" fillId="5" borderId="1" applyAlignment="1" pivotButton="0" quotePrefix="0" xfId="0">
      <alignment horizontal="general" vertical="top"/>
    </xf>
    <xf numFmtId="0" fontId="5" fillId="5" borderId="1" applyAlignment="1" pivotButton="0" quotePrefix="0" xfId="0">
      <alignment horizontal="general" vertical="top" wrapText="1"/>
    </xf>
    <xf numFmtId="0" fontId="0" fillId="0" borderId="0" applyAlignment="1" pivotButton="0" quotePrefix="0" xfId="0">
      <alignment horizontal="general" vertical="bottom"/>
    </xf>
    <xf numFmtId="0" fontId="0" fillId="0" borderId="0" pivotButton="0" quotePrefix="0" xfId="0"/>
    <xf numFmtId="0" fontId="4" fillId="2" borderId="0" applyAlignment="1" pivotButton="0" quotePrefix="0" xfId="0">
      <alignment horizontal="general" vertical="bottom"/>
    </xf>
    <xf numFmtId="0" fontId="0" fillId="2" borderId="0" applyAlignment="1" pivotButton="0" quotePrefix="0" xfId="0">
      <alignment horizontal="general" vertical="bottom"/>
    </xf>
    <xf numFmtId="0" fontId="5" fillId="0" borderId="0" applyAlignment="1" pivotButton="0" quotePrefix="0" xfId="0">
      <alignment horizontal="general" vertical="bottom"/>
    </xf>
    <xf numFmtId="0" fontId="6" fillId="0" borderId="0" applyAlignment="1" pivotButton="0" quotePrefix="0" xfId="0">
      <alignment horizontal="general" vertical="bottom"/>
    </xf>
    <xf numFmtId="0" fontId="7" fillId="3" borderId="1" applyAlignment="1" pivotButton="0" quotePrefix="0" xfId="0">
      <alignment horizontal="general" vertical="bottom"/>
    </xf>
    <xf numFmtId="0" fontId="8" fillId="0" borderId="0" applyAlignment="1" pivotButton="0" quotePrefix="0" xfId="0">
      <alignment horizontal="general" vertical="bottom"/>
    </xf>
    <xf numFmtId="0" fontId="8" fillId="4" borderId="1" applyAlignment="1" pivotButton="0" quotePrefix="0" xfId="0">
      <alignment horizontal="general" vertical="bottom"/>
    </xf>
    <xf numFmtId="0" fontId="9" fillId="0" borderId="1" applyAlignment="1" pivotButton="0" quotePrefix="0" xfId="0">
      <alignment horizontal="general" vertical="bottom"/>
    </xf>
    <xf numFmtId="0" fontId="8" fillId="5" borderId="1" applyAlignment="1" pivotButton="0" quotePrefix="0" xfId="0">
      <alignment horizontal="general" vertical="bottom"/>
    </xf>
    <xf numFmtId="0" fontId="10" fillId="0" borderId="0" applyAlignment="1" pivotButton="0" quotePrefix="0" xfId="0">
      <alignment horizontal="general" vertical="bottom"/>
    </xf>
    <xf numFmtId="0" fontId="6" fillId="6" borderId="0" applyAlignment="1" pivotButton="0" quotePrefix="0" xfId="0">
      <alignment horizontal="general" vertical="bottom"/>
    </xf>
    <xf numFmtId="0" fontId="0" fillId="6" borderId="0" applyAlignment="1" pivotButton="0" quotePrefix="0" xfId="0">
      <alignment horizontal="general" vertical="bottom"/>
    </xf>
    <xf numFmtId="0" fontId="7" fillId="3" borderId="1" applyAlignment="1" pivotButton="0" quotePrefix="0" xfId="0">
      <alignment horizontal="center" vertical="bottom"/>
    </xf>
    <xf numFmtId="3" fontId="7" fillId="3" borderId="1" applyAlignment="1" pivotButton="0" quotePrefix="0" xfId="0">
      <alignment horizontal="general" vertical="bottom"/>
    </xf>
    <xf numFmtId="164" fontId="7" fillId="3" borderId="1" applyAlignment="1" pivotButton="0" quotePrefix="0" xfId="0">
      <alignment horizontal="general" vertical="bottom"/>
    </xf>
    <xf numFmtId="3" fontId="8" fillId="4" borderId="1" applyAlignment="1" pivotButton="0" quotePrefix="0" xfId="0">
      <alignment horizontal="general" vertical="bottom"/>
    </xf>
    <xf numFmtId="165" fontId="7" fillId="3" borderId="1" applyAlignment="1" pivotButton="0" quotePrefix="0" xfId="0">
      <alignment horizontal="general" vertical="bottom"/>
    </xf>
    <xf numFmtId="166" fontId="8" fillId="4" borderId="1" applyAlignment="1" pivotButton="0" quotePrefix="0" xfId="0">
      <alignment horizontal="general" vertical="bottom"/>
    </xf>
    <xf numFmtId="166" fontId="11" fillId="4" borderId="1" applyAlignment="1" pivotButton="0" quotePrefix="0" xfId="0">
      <alignment horizontal="general" vertical="bottom"/>
    </xf>
    <xf numFmtId="164" fontId="8" fillId="4" borderId="1" applyAlignment="1" pivotButton="0" quotePrefix="0" xfId="0">
      <alignment horizontal="general" vertical="bottom"/>
    </xf>
    <xf numFmtId="166" fontId="7" fillId="3" borderId="1" applyAlignment="1" pivotButton="0" quotePrefix="0" xfId="0">
      <alignment horizontal="general" vertical="bottom"/>
    </xf>
    <xf numFmtId="167" fontId="7" fillId="3" borderId="1" applyAlignment="1" pivotButton="0" quotePrefix="0" xfId="0">
      <alignment horizontal="general" vertical="bottom"/>
    </xf>
    <xf numFmtId="165" fontId="8" fillId="4" borderId="1" applyAlignment="1" pivotButton="0" quotePrefix="0" xfId="0">
      <alignment horizontal="general" vertical="bottom"/>
    </xf>
    <xf numFmtId="165" fontId="11" fillId="4" borderId="1" applyAlignment="1" pivotButton="0" quotePrefix="0" xfId="0">
      <alignment horizontal="general" vertical="bottom"/>
    </xf>
    <xf numFmtId="168" fontId="8" fillId="4" borderId="1" applyAlignment="1" pivotButton="0" quotePrefix="0" xfId="0">
      <alignment horizontal="general" vertical="bottom"/>
    </xf>
    <xf numFmtId="166" fontId="9" fillId="4" borderId="1" applyAlignment="1" pivotButton="0" quotePrefix="0" xfId="0">
      <alignment horizontal="general" vertical="bottom"/>
    </xf>
    <xf numFmtId="169" fontId="7" fillId="3" borderId="1" applyAlignment="1" pivotButton="0" quotePrefix="0" xfId="0">
      <alignment horizontal="general" vertical="bottom"/>
    </xf>
    <xf numFmtId="170" fontId="8" fillId="4" borderId="1" applyAlignment="1" pivotButton="0" quotePrefix="0" xfId="0">
      <alignment horizontal="general" vertical="bottom"/>
    </xf>
    <xf numFmtId="164" fontId="11" fillId="4" borderId="1" applyAlignment="1" pivotButton="0" quotePrefix="0" xfId="0">
      <alignment horizontal="general" vertical="bottom"/>
    </xf>
    <xf numFmtId="164" fontId="9" fillId="4" borderId="1" applyAlignment="1" pivotButton="0" quotePrefix="0" xfId="0">
      <alignment horizontal="general" vertical="bottom"/>
    </xf>
    <xf numFmtId="0" fontId="10" fillId="5" borderId="1" applyAlignment="1" pivotButton="0" quotePrefix="0" xfId="0">
      <alignment horizontal="general" vertical="bottom"/>
    </xf>
    <xf numFmtId="164" fontId="8" fillId="5" borderId="1" applyAlignment="1" pivotButton="0" quotePrefix="0" xfId="0">
      <alignment horizontal="general" vertical="bottom"/>
    </xf>
    <xf numFmtId="3" fontId="11" fillId="4" borderId="1" applyAlignment="1" pivotButton="0" quotePrefix="0" xfId="0">
      <alignment horizontal="general" vertical="bottom"/>
    </xf>
    <xf numFmtId="0" fontId="11" fillId="4" borderId="1" applyAlignment="1" pivotButton="0" quotePrefix="0" xfId="0">
      <alignment horizontal="general" vertical="bottom"/>
    </xf>
    <xf numFmtId="169" fontId="11" fillId="4" borderId="1" applyAlignment="1" pivotButton="0" quotePrefix="0" xfId="0">
      <alignment horizontal="general" vertical="bottom"/>
    </xf>
    <xf numFmtId="169" fontId="8" fillId="4" borderId="1" applyAlignment="1" pivotButton="0" quotePrefix="0" xfId="0">
      <alignment horizontal="general" vertical="bottom"/>
    </xf>
    <xf numFmtId="4" fontId="11" fillId="4" borderId="1" applyAlignment="1" pivotButton="0" quotePrefix="0" xfId="0">
      <alignment horizontal="general" vertical="bottom"/>
    </xf>
    <xf numFmtId="170" fontId="11" fillId="4" borderId="1" applyAlignment="1" pivotButton="0" quotePrefix="0" xfId="0">
      <alignment horizontal="general" vertical="bottom"/>
    </xf>
    <xf numFmtId="0" fontId="7" fillId="3" borderId="1" applyAlignment="1" pivotButton="0" quotePrefix="0" xfId="0">
      <alignment horizontal="general" vertical="top" wrapText="1"/>
    </xf>
    <xf numFmtId="0" fontId="13" fillId="2" borderId="1" applyAlignment="1" pivotButton="0" quotePrefix="0" xfId="0">
      <alignment horizontal="general" vertical="bottom"/>
    </xf>
    <xf numFmtId="0" fontId="8" fillId="5" borderId="1" applyAlignment="1" pivotButton="0" quotePrefix="0" xfId="0">
      <alignment horizontal="general" vertical="top"/>
    </xf>
    <xf numFmtId="0" fontId="5" fillId="5" borderId="1" applyAlignment="1" pivotButton="0" quotePrefix="0" xfId="0">
      <alignment horizontal="general" vertical="top" wrapText="1"/>
    </xf>
  </cellXfs>
  <cellStyles count="6">
    <cellStyle name="Normal" xfId="0" builtinId="0"/>
    <cellStyle name="Comma" xfId="1" builtinId="3"/>
    <cellStyle name="Comma [0]" xfId="2" builtinId="6"/>
    <cellStyle name="Currency" xfId="3" builtinId="4"/>
    <cellStyle name="Currency [0]" xfId="4" builtinId="7"/>
    <cellStyle name="Percent" xfId="5" builtinId="5"/>
  </cellStyles>
  <colors>
    <indexedColors>
      <rgbColor rgb="FF000000"/>
      <rgbColor rgb="FFFFFFFF"/>
      <rgbColor rgb="FFC0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2CC"/>
      <rgbColor rgb="FFE8EAF6"/>
      <rgbColor rgb="FF660066"/>
      <rgbColor rgb="FFFF8080"/>
      <rgbColor rgb="FF0066CC"/>
      <rgbColor rgb="FFD0D0D0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F2F2F2"/>
      <rgbColor rgb="FFEDEDED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66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1F2937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comments/comment1.xml><?xml version="1.0" encoding="utf-8"?>
<comments xmlns="http://schemas.openxmlformats.org/spreadsheetml/2006/main">
  <authors>
    <author>Unknown Author</author>
  </authors>
  <commentList>
    <comment ref="B5" authorId="0" shapeId="0">
      <text>
        <t>Ví dụ mẫu đang điền sẵn — thay bằng sản phẩm của bạn.</t>
      </text>
    </comment>
  </commentList>
</comment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2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 filterMode="0">
    <outlinePr summaryBelow="1" summaryRight="1"/>
    <pageSetUpPr fitToPage="0"/>
  </sheetPr>
  <dimension ref="A1:H24"/>
  <sheetViews>
    <sheetView showFormulas="0" showGridLines="1" showRowColHeaders="1" showZeros="1" rightToLeft="0" tabSelected="1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796875" defaultRowHeight="15" zeroHeight="0" outlineLevelRow="0"/>
  <cols>
    <col width="52" customWidth="1" style="43" min="1" max="1"/>
    <col width="62" customWidth="1" style="43" min="2" max="2"/>
    <col width="15" customWidth="1" style="43" min="3" max="8"/>
  </cols>
  <sheetData>
    <row r="1" ht="24" customHeight="1" s="44">
      <c r="A1" s="45" t="inlineStr">
        <is>
          <t>DAY 28 — MONETIZATION MODEL</t>
        </is>
      </c>
      <c r="B1" s="46" t="n"/>
      <c r="C1" s="46" t="n"/>
      <c r="D1" s="46" t="n"/>
      <c r="E1" s="46" t="n"/>
      <c r="F1" s="46" t="n"/>
      <c r="G1" s="46" t="n"/>
      <c r="H1" s="46" t="n"/>
    </row>
    <row r="2" ht="15" customHeight="1" s="44">
      <c r="A2" s="47" t="inlineStr">
        <is>
          <t>AI Pricing · GTM · Evidence — AI-IN-ACTION Track 1</t>
        </is>
      </c>
    </row>
    <row r="4" ht="15" customHeight="1" s="44">
      <c r="A4" s="48" t="inlineStr">
        <is>
          <t>QUY ƯỚC MÀU — CHỈ ĐIỀN VÀO Ô MÀU VÀNG</t>
        </is>
      </c>
    </row>
    <row r="5" ht="15" customHeight="1" s="44">
      <c r="A5" s="49" t="inlineStr">
        <is>
          <t>Ô VÀNG, chữ xanh dương</t>
        </is>
      </c>
      <c r="B5" s="50" t="inlineStr">
        <is>
          <t>Ô bạn phải điền</t>
        </is>
      </c>
    </row>
    <row r="6" ht="15" customHeight="1" s="44">
      <c r="A6" s="51" t="inlineStr">
        <is>
          <t>Ô XÁM, chữ đen</t>
        </is>
      </c>
      <c r="B6" s="50" t="inlineStr">
        <is>
          <t>Công thức tự tính — KHÔNG SỬA</t>
        </is>
      </c>
    </row>
    <row r="7" ht="15" customHeight="1" s="44">
      <c r="A7" s="52" t="inlineStr">
        <is>
          <t>Chữ xanh lá</t>
        </is>
      </c>
      <c r="B7" s="50" t="inlineStr">
        <is>
          <t>Link sang tab khác</t>
        </is>
      </c>
    </row>
    <row r="8" ht="15" customHeight="1" s="44">
      <c r="A8" s="53" t="inlineStr">
        <is>
          <t>Ô XÁM đậm nhạt</t>
        </is>
      </c>
      <c r="B8" s="50" t="inlineStr">
        <is>
          <t>Bảng tham chiếu, chỉ đọc</t>
        </is>
      </c>
    </row>
    <row r="10" ht="15" customHeight="1" s="44">
      <c r="A10" s="48" t="inlineStr">
        <is>
          <t>THỨ TỰ LÀM — 6 TRẠM, 120 PHÚT</t>
        </is>
      </c>
    </row>
    <row r="11" ht="15" customHeight="1" s="44">
      <c r="A11" s="54" t="inlineStr">
        <is>
          <t>Trạm 1 · 15'</t>
        </is>
      </c>
      <c r="B11" s="50" t="inlineStr">
        <is>
          <t>Ngân sách khách &amp; định nghĩa Job → điền S1–S2 của tab 1_Cost_Job</t>
        </is>
      </c>
    </row>
    <row r="12" ht="15" customHeight="1" s="44">
      <c r="A12" s="54" t="inlineStr">
        <is>
          <t>Trạm 2 · 20'</t>
        </is>
      </c>
      <c r="B12" s="50" t="inlineStr">
        <is>
          <t>Value Metric → tab 3_Value_Metric</t>
        </is>
      </c>
    </row>
    <row r="13" ht="15" customHeight="1" s="44">
      <c r="A13" s="54" t="inlineStr">
        <is>
          <t>Trạm 3 · 30'</t>
        </is>
      </c>
      <c r="B13" s="50" t="inlineStr">
        <is>
          <t>Cost/Job, giá sàn &amp; giá trần → tab 1_Cost_Job (S3–S8) rồi 2_Pricing</t>
        </is>
      </c>
    </row>
    <row r="14" ht="15" customHeight="1" s="44">
      <c r="A14" s="54" t="inlineStr">
        <is>
          <t>Trạm 4 · 20'</t>
        </is>
      </c>
      <c r="B14" s="50" t="inlineStr">
        <is>
          <t>Kênh phân phối &amp; Affordability Test → tab 4_Channel_Fit</t>
        </is>
      </c>
    </row>
    <row r="15" ht="15" customHeight="1" s="44">
      <c r="A15" s="54" t="inlineStr">
        <is>
          <t>Trạm 5 · 15'</t>
        </is>
      </c>
      <c r="B15" s="50" t="inlineStr">
        <is>
          <t>Pain Moment &amp; 90-Day Plan → tab 5_90Day_Plan</t>
        </is>
      </c>
    </row>
    <row r="16" ht="15" customHeight="1" s="44">
      <c r="A16" s="54" t="inlineStr">
        <is>
          <t>Trạm 6 · 20'</t>
        </is>
      </c>
      <c r="B16" s="50" t="inlineStr">
        <is>
          <t>Evidence Pack &amp; ráp One-Pager → tab 5_90Day_Plan + file .docx</t>
        </is>
      </c>
    </row>
    <row r="18" ht="15" customHeight="1" s="44">
      <c r="A18" s="48" t="inlineStr">
        <is>
          <t>3 QUY TẮC KHÔNG ĐƯỢC PHÁ</t>
        </is>
      </c>
    </row>
    <row r="19" ht="15" customHeight="1" s="44">
      <c r="A19" s="50" t="inlineStr">
        <is>
          <t>1. Chia cho số job HOÀN THÀNH, không phải số job đã thử.</t>
        </is>
      </c>
    </row>
    <row r="20" ht="15" customHeight="1" s="44">
      <c r="A20" s="50" t="inlineStr">
        <is>
          <t>2. HITL và Retry không được để 0 nếu không có lý do viết ra được.</t>
        </is>
      </c>
    </row>
    <row r="21" ht="15" customHeight="1" s="44">
      <c r="A21" s="50" t="inlineStr">
        <is>
          <t>3. Mọi con số giá API phải có NGÀY kiểm tra (xem tab 6_Benchmarks).</t>
        </is>
      </c>
    </row>
    <row r="23" ht="15" customHeight="1" s="44">
      <c r="A23" s="47" t="inlineStr">
        <is>
          <t>Giá tham chiếu trong workbook này được chốt ngày 26/08/2026. Nhiều mức giá là KHUYẾN MẠI CÓ HẠN.</t>
        </is>
      </c>
    </row>
    <row r="24" ht="15" customHeight="1" s="44">
      <c r="A24" s="47" t="inlineStr">
        <is>
          <t>Bạn PHẢI tự mở lại trang giá của nhà cung cấp và cập nhật — đây là một phần của bài tập.</t>
        </is>
      </c>
    </row>
  </sheetData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2.xml><?xml version="1.0" encoding="utf-8"?>
<worksheet xmlns="http://schemas.openxmlformats.org/spreadsheetml/2006/main">
  <sheetPr filterMode="0">
    <outlinePr summaryBelow="1" summaryRight="1"/>
    <pageSetUpPr fitToPage="0"/>
  </sheetPr>
  <dimension ref="A1:H78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796875" defaultRowHeight="15" zeroHeight="0" outlineLevelRow="0"/>
  <cols>
    <col width="46" customWidth="1" style="43" min="1" max="1"/>
    <col width="16" customWidth="1" style="43" min="2" max="3"/>
    <col width="52" customWidth="1" style="43" min="4" max="4"/>
    <col width="15" customWidth="1" style="43" min="5" max="8"/>
  </cols>
  <sheetData>
    <row r="1" ht="24" customHeight="1" s="44">
      <c r="A1" s="45" t="inlineStr">
        <is>
          <t>TAB 1 — COST/JOB CALCULATOR</t>
        </is>
      </c>
      <c r="B1" s="46" t="n"/>
      <c r="C1" s="46" t="n"/>
      <c r="D1" s="46" t="n"/>
      <c r="E1" s="46" t="n"/>
      <c r="F1" s="46" t="n"/>
      <c r="G1" s="46" t="n"/>
      <c r="H1" s="46" t="n"/>
    </row>
    <row r="2" ht="15" customHeight="1" s="44">
      <c r="A2" s="47" t="inlineStr">
        <is>
          <t>Trạm 1 (S1–S2) và Trạm 3 (S3–S8). Chỉ điền ô vàng.</t>
        </is>
      </c>
    </row>
    <row r="4" ht="15" customHeight="1" s="44">
      <c r="A4" s="55" t="inlineStr">
        <is>
          <t>S1. ĐỊNH NGHĨA JOB</t>
        </is>
      </c>
      <c r="B4" s="56" t="n"/>
      <c r="C4" s="56" t="n"/>
      <c r="D4" s="56" t="n"/>
      <c r="E4" s="56" t="n"/>
      <c r="F4" s="56" t="n"/>
      <c r="G4" s="56" t="n"/>
      <c r="H4" s="56" t="n"/>
    </row>
    <row r="5" ht="15" customHeight="1" s="44">
      <c r="A5" s="50" t="inlineStr">
        <is>
          <t>1 job của bạn là gì?</t>
        </is>
      </c>
      <c r="B5" s="49" t="inlineStr">
        <is>
          <t>1 phiên giải đáp học tập hoàn chỉnh (RAG truy vấn 18 tài liệu, trả JSON trích dẫn &amp; gợi ý follow-up)</t>
        </is>
      </c>
      <c r="D5" s="47" t="inlineStr">
        <is>
          <t>Phải là thứ KHÁCH coi là giá trị — không phải '1 request'</t>
        </is>
      </c>
    </row>
    <row r="6" ht="15" customHeight="1" s="44">
      <c r="A6" s="50" t="inlineStr">
        <is>
          <t>Biến thể HITL: A hay B?</t>
        </is>
      </c>
      <c r="B6" s="57" t="inlineStr">
        <is>
          <t>A</t>
        </is>
      </c>
      <c r="D6" s="47" t="inlineStr">
        <is>
          <t>Chọn Biến thể A: Mô hình phần mềm SaaS B2B cho trường/trung tâm EdTech. Khi gặp câu hỏi out-of-scope hoặc sinh viên cần hỗ trợ chuyên sâu, hệ thống tự động điều hướng về Trợ giảng/Lab Coach của trường (Khách hàng tự xử lý ca escalate) giúp kiểm soát chi phí escalation = 0 và giữ Gross Margin an toàn 81.1%.</t>
        </is>
      </c>
    </row>
    <row r="8" ht="15" customHeight="1" s="44">
      <c r="A8" s="55" t="inlineStr">
        <is>
          <t>S2. KHỐI LƯỢNG</t>
        </is>
      </c>
      <c r="B8" s="56" t="n"/>
      <c r="C8" s="56" t="n"/>
      <c r="D8" s="56" t="n"/>
      <c r="E8" s="56" t="n"/>
      <c r="F8" s="56" t="n"/>
      <c r="G8" s="56" t="n"/>
      <c r="H8" s="56" t="n"/>
    </row>
    <row r="9" ht="15" customHeight="1" s="44">
      <c r="A9" s="50" t="inlineStr">
        <is>
          <t>Số job THỬ / tháng</t>
        </is>
      </c>
      <c r="B9" s="58" t="n">
        <v>1000</v>
      </c>
      <c r="C9" s="47" t="inlineStr">
        <is>
          <t>job</t>
        </is>
      </c>
    </row>
    <row r="10" ht="15" customHeight="1" s="44">
      <c r="A10" s="50" t="inlineStr">
        <is>
          <t>Containment rate (AI tự làm xong)</t>
        </is>
      </c>
      <c r="B10" s="59" t="n">
        <v>0.85</v>
      </c>
      <c r="D10" s="47" t="inlineStr">
        <is>
          <t>Lấy từ eval Day 21–22. Chưa đo → ước tính và ghi rõ</t>
        </is>
      </c>
    </row>
    <row r="11" ht="15" customHeight="1" s="44">
      <c r="A11" s="50" t="inlineStr">
        <is>
          <t>→ Số job HOÀN THÀNH / tháng</t>
        </is>
      </c>
      <c r="B11" s="60">
        <f>B9*B10</f>
        <v/>
      </c>
      <c r="C11" s="47" t="inlineStr">
        <is>
          <t>job</t>
        </is>
      </c>
      <c r="D11" s="47" t="inlineStr">
        <is>
          <t>MẪU SỐ của Cost/Job</t>
        </is>
      </c>
    </row>
    <row r="12" ht="15" customHeight="1" s="44">
      <c r="A12" s="50" t="inlineStr">
        <is>
          <t>→ Số job KHÔNG xong / tháng</t>
        </is>
      </c>
      <c r="B12" s="60">
        <f>B9-B11</f>
        <v/>
      </c>
      <c r="C12" s="47" t="inlineStr">
        <is>
          <t>job</t>
        </is>
      </c>
      <c r="D12" s="47" t="inlineStr">
        <is>
          <t>Số ca phải escalate</t>
        </is>
      </c>
    </row>
    <row r="14" ht="15" customHeight="1" s="44">
      <c r="A14" s="55" t="inlineStr">
        <is>
          <t>S3. API — LLM</t>
        </is>
      </c>
      <c r="B14" s="56" t="n"/>
      <c r="C14" s="56" t="n"/>
      <c r="D14" s="56" t="n"/>
      <c r="E14" s="56" t="n"/>
      <c r="F14" s="56" t="n"/>
      <c r="G14" s="56" t="n"/>
      <c r="H14" s="56" t="n"/>
    </row>
    <row r="15" ht="15" customHeight="1" s="44">
      <c r="A15" s="50" t="inlineStr">
        <is>
          <t>Giá input ($ / 1M token)</t>
        </is>
      </c>
      <c r="B15" s="61" t="n">
        <v>1</v>
      </c>
      <c r="D15" s="47" t="inlineStr">
        <is>
          <t>Claude Haiku 4.5 — xem tab 6_Benchmarks</t>
        </is>
      </c>
    </row>
    <row r="16" ht="15" customHeight="1" s="44">
      <c r="A16" s="50" t="inlineStr">
        <is>
          <t>Giá output ($ / 1M token)</t>
        </is>
      </c>
      <c r="B16" s="61" t="n">
        <v>5</v>
      </c>
    </row>
    <row r="17" ht="15" customHeight="1" s="44">
      <c r="A17" s="50" t="inlineStr">
        <is>
          <t>Giá cache WRITE ($ / 1M token)</t>
        </is>
      </c>
      <c r="B17" s="61" t="n">
        <v>1.25</v>
      </c>
      <c r="D17" s="47" t="inlineStr">
        <is>
          <t>Anthropic 5-phút = 1,25× input</t>
        </is>
      </c>
    </row>
    <row r="18" ht="15" customHeight="1" s="44">
      <c r="A18" s="50" t="inlineStr">
        <is>
          <t>Giá cache READ ($ / 1M token)</t>
        </is>
      </c>
      <c r="B18" s="61" t="n">
        <v>0.1</v>
      </c>
      <c r="D18" s="47" t="inlineStr">
        <is>
          <t>≈ 0,1× input (giảm 90%)</t>
        </is>
      </c>
    </row>
    <row r="19" ht="15" customHeight="1" s="44">
      <c r="A19" s="50" t="inlineStr">
        <is>
          <t>Số lượt (turns) / job</t>
        </is>
      </c>
      <c r="B19" s="58" t="n">
        <v>3</v>
      </c>
      <c r="C19" s="47" t="inlineStr">
        <is>
          <t>lượt</t>
        </is>
      </c>
    </row>
    <row r="20" ht="15" customHeight="1" s="44">
      <c r="A20" s="50" t="inlineStr">
        <is>
          <t>Token input CACHE ĐƯỢC / lượt</t>
        </is>
      </c>
      <c r="B20" s="58" t="n">
        <v>2500</v>
      </c>
      <c r="C20" s="47" t="inlineStr">
        <is>
          <t>token</t>
        </is>
      </c>
      <c r="D20" s="47" t="inlineStr">
        <is>
          <t>System prompt + KB + few-shot</t>
        </is>
      </c>
    </row>
    <row r="21" ht="15" customHeight="1" s="44">
      <c r="A21" s="50" t="inlineStr">
        <is>
          <t>Token input FRESH / lượt</t>
        </is>
      </c>
      <c r="B21" s="58" t="n">
        <v>800</v>
      </c>
      <c r="C21" s="47" t="inlineStr">
        <is>
          <t>token</t>
        </is>
      </c>
      <c r="D21" s="47" t="inlineStr">
        <is>
          <t>Câu hỏi khách + dữ liệu động</t>
        </is>
      </c>
    </row>
    <row r="22" ht="15" customHeight="1" s="44">
      <c r="A22" s="50" t="inlineStr">
        <is>
          <t>Token output / lượt</t>
        </is>
      </c>
      <c r="B22" s="58" t="n">
        <v>350</v>
      </c>
      <c r="C22" s="47" t="inlineStr">
        <is>
          <t>token</t>
        </is>
      </c>
    </row>
    <row r="23" ht="15" customHeight="1" s="44">
      <c r="A23" s="50" t="inlineStr">
        <is>
          <t>→ Cache write / job</t>
        </is>
      </c>
      <c r="B23" s="62">
        <f>B20*B17/1000000</f>
        <v/>
      </c>
    </row>
    <row r="24" ht="15" customHeight="1" s="44">
      <c r="A24" s="50" t="inlineStr">
        <is>
          <t>→ Cache read / job</t>
        </is>
      </c>
      <c r="B24" s="62">
        <f>(B19-1)*B20*B18/1000000</f>
        <v/>
      </c>
    </row>
    <row r="25" ht="15" customHeight="1" s="44">
      <c r="A25" s="50" t="inlineStr">
        <is>
          <t>→ Input fresh / job</t>
        </is>
      </c>
      <c r="B25" s="62">
        <f>B19*B21*B15/1000000</f>
        <v/>
      </c>
    </row>
    <row r="26" ht="15" customHeight="1" s="44">
      <c r="A26" s="50" t="inlineStr">
        <is>
          <t>→ Output / job</t>
        </is>
      </c>
      <c r="B26" s="62">
        <f>B19*B22*B16/1000000</f>
        <v/>
      </c>
    </row>
    <row r="27" ht="15" customHeight="1" s="44">
      <c r="A27" s="54" t="inlineStr">
        <is>
          <t>→ LLM / job — CÓ prompt caching</t>
        </is>
      </c>
      <c r="B27" s="63">
        <f>SUM(B23:B26)</f>
        <v/>
      </c>
    </row>
    <row r="28" ht="15" customHeight="1" s="44">
      <c r="A28" s="50" t="inlineStr">
        <is>
          <t>→ LLM / job — KHÔNG cache</t>
        </is>
      </c>
      <c r="B28" s="62">
        <f>B19*(B20+B21)*B15/1000000+B26</f>
        <v/>
      </c>
    </row>
    <row r="29" ht="15" customHeight="1" s="44">
      <c r="A29" s="50" t="inlineStr">
        <is>
          <t>→ % tiết kiệm nhờ caching</t>
        </is>
      </c>
      <c r="B29" s="64">
        <f>IF(B28=0,0,1-B27/B28)</f>
        <v/>
      </c>
      <c r="D29" s="47" t="inlineStr">
        <is>
          <t>Đòn bẩy rẻ nhất bạn có</t>
        </is>
      </c>
    </row>
    <row r="30" ht="15" customHeight="1" s="44">
      <c r="A30" s="50" t="inlineStr">
        <is>
          <t>Dùng Batch API? (1 = có, 0 = không)</t>
        </is>
      </c>
      <c r="B30" s="58" t="n">
        <v>0</v>
      </c>
      <c r="D30" s="47" t="inlineStr">
        <is>
          <t>Batch giảm 50% — chỉ khi job KHÔNG cần realtime</t>
        </is>
      </c>
    </row>
    <row r="31" ht="15" customHeight="1" s="44">
      <c r="A31" s="54" t="inlineStr">
        <is>
          <t>→ LLM / job sau Batch</t>
        </is>
      </c>
      <c r="B31" s="63">
        <f>B27*(1-B30*0.5)</f>
        <v/>
      </c>
    </row>
    <row r="33" ht="15" customHeight="1" s="44">
      <c r="A33" s="55" t="inlineStr">
        <is>
          <t>S4. API — SPEECH (để 0 nếu sản phẩm không có thoại)</t>
        </is>
      </c>
      <c r="B33" s="56" t="n"/>
      <c r="C33" s="56" t="n"/>
      <c r="D33" s="56" t="n"/>
      <c r="E33" s="56" t="n"/>
      <c r="F33" s="56" t="n"/>
      <c r="G33" s="56" t="n"/>
      <c r="H33" s="56" t="n"/>
    </row>
    <row r="34" ht="15" customHeight="1" s="44">
      <c r="A34" s="50" t="inlineStr">
        <is>
          <t>Giá STT ($ / phút)</t>
        </is>
      </c>
      <c r="B34" s="65" t="n">
        <v>0</v>
      </c>
      <c r="D34" s="47" t="inlineStr">
        <is>
          <t>Deepgram streaming list $0,0077/phút</t>
        </is>
      </c>
    </row>
    <row r="35" ht="15" customHeight="1" s="44">
      <c r="A35" s="50" t="inlineStr">
        <is>
          <t>Số phút audio / job</t>
        </is>
      </c>
      <c r="B35" s="66" t="n">
        <v>0</v>
      </c>
      <c r="C35" s="47" t="inlineStr">
        <is>
          <t>phút</t>
        </is>
      </c>
    </row>
    <row r="36" ht="15" customHeight="1" s="44">
      <c r="A36" s="50" t="inlineStr">
        <is>
          <t>Giá TTS ($ / 1M ký tự)</t>
        </is>
      </c>
      <c r="B36" s="61" t="n">
        <v>0</v>
      </c>
      <c r="D36" s="47" t="inlineStr">
        <is>
          <t>ElevenLabs Flash $50 · Google Standard $4</t>
        </is>
      </c>
    </row>
    <row r="37" ht="15" customHeight="1" s="44">
      <c r="A37" s="50" t="inlineStr">
        <is>
          <t>Số ký tự TTS / job</t>
        </is>
      </c>
      <c r="B37" s="58" t="n">
        <v>0</v>
      </c>
      <c r="C37" s="47" t="inlineStr">
        <is>
          <t>ký tự</t>
        </is>
      </c>
      <c r="D37" s="47" t="inlineStr">
        <is>
          <t>≈ 900 ký tự cho mỗi phút bot nói</t>
        </is>
      </c>
    </row>
    <row r="38" ht="15" customHeight="1" s="44">
      <c r="A38" s="50" t="inlineStr">
        <is>
          <t>→ Speech / job</t>
        </is>
      </c>
      <c r="B38" s="62">
        <f>B34*B35+B36*B37/1000000</f>
        <v/>
      </c>
    </row>
    <row r="40" ht="15" customHeight="1" s="44">
      <c r="A40" s="55" t="inlineStr">
        <is>
          <t>S5. INFRA</t>
        </is>
      </c>
      <c r="B40" s="56" t="n"/>
      <c r="C40" s="56" t="n"/>
      <c r="D40" s="56" t="n"/>
      <c r="E40" s="56" t="n"/>
      <c r="F40" s="56" t="n"/>
      <c r="G40" s="56" t="n"/>
      <c r="H40" s="56" t="n"/>
    </row>
    <row r="41" ht="15" customHeight="1" s="44">
      <c r="A41" s="50" t="inlineStr">
        <is>
          <t>Infra / job ($)</t>
        </is>
      </c>
      <c r="B41" s="65" t="n">
        <v>0.005</v>
      </c>
      <c r="D41" s="47" t="inlineStr">
        <is>
          <t>Vector DB, embedding, storage, logging</t>
        </is>
      </c>
    </row>
    <row r="42" ht="15" customHeight="1" s="44">
      <c r="A42" s="50" t="inlineStr">
        <is>
          <t>Telephony ($ / phút)</t>
        </is>
      </c>
      <c r="B42" s="65" t="n">
        <v>0</v>
      </c>
    </row>
    <row r="43" ht="15" customHeight="1" s="44">
      <c r="A43" s="50" t="inlineStr">
        <is>
          <t>→ Infra / job</t>
        </is>
      </c>
      <c r="B43" s="62">
        <f>B41+B42*B35</f>
        <v/>
      </c>
    </row>
    <row r="45" ht="15" customHeight="1" s="44">
      <c r="A45" s="55" t="inlineStr">
        <is>
          <t>S6. RETRY</t>
        </is>
      </c>
      <c r="B45" s="56" t="n"/>
      <c r="C45" s="56" t="n"/>
      <c r="D45" s="56" t="n"/>
      <c r="E45" s="56" t="n"/>
      <c r="F45" s="56" t="n"/>
      <c r="G45" s="56" t="n"/>
      <c r="H45" s="56" t="n"/>
    </row>
    <row r="46" ht="15" customHeight="1" s="44">
      <c r="A46" s="50" t="inlineStr">
        <is>
          <t>Tỷ lệ job phải chạy lại</t>
        </is>
      </c>
      <c r="B46" s="59" t="n">
        <v>0.08</v>
      </c>
      <c r="D46" s="47" t="inlineStr">
        <is>
          <t>ĐỪNG để 0%. Thực tế 5–10% là bình thường</t>
        </is>
      </c>
    </row>
    <row r="47" ht="15" customHeight="1" s="44">
      <c r="A47" s="50" t="inlineStr">
        <is>
          <t>→ Retry / job</t>
        </is>
      </c>
      <c r="B47" s="62">
        <f>(B31+B38)*B46</f>
        <v/>
      </c>
    </row>
    <row r="49" ht="15" customHeight="1" s="44">
      <c r="A49" s="55" t="inlineStr">
        <is>
          <t>S7. HITL — người trong vòng lặp</t>
        </is>
      </c>
      <c r="B49" s="56" t="n"/>
      <c r="C49" s="56" t="n"/>
      <c r="D49" s="56" t="n"/>
      <c r="E49" s="56" t="n"/>
      <c r="F49" s="56" t="n"/>
      <c r="G49" s="56" t="n"/>
      <c r="H49" s="56" t="n"/>
    </row>
    <row r="50" ht="15" customHeight="1" s="44">
      <c r="A50" s="50" t="inlineStr">
        <is>
          <t>Chi phí nhân sự ($ / giờ, fully-loaded)</t>
        </is>
      </c>
      <c r="B50" s="61" t="n">
        <v>9</v>
      </c>
      <c r="D50" s="47" t="inlineStr">
        <is>
          <t>Gồm lương + bảo hiểm + quản lý + chỗ ngồi</t>
        </is>
      </c>
    </row>
    <row r="51" ht="15" customHeight="1" s="44">
      <c r="A51" s="50" t="inlineStr">
        <is>
          <t>% hội thoại QA nội bộ</t>
        </is>
      </c>
      <c r="B51" s="59" t="n">
        <v>0.05</v>
      </c>
      <c r="D51" s="47" t="inlineStr">
        <is>
          <t>Luôn có, kể cả Biến thể A</t>
        </is>
      </c>
    </row>
    <row r="52" ht="15" customHeight="1" s="44">
      <c r="A52" s="50" t="inlineStr">
        <is>
          <t>Số phút QA / ca</t>
        </is>
      </c>
      <c r="B52" s="66" t="n">
        <v>2</v>
      </c>
      <c r="C52" s="47" t="inlineStr">
        <is>
          <t>phút</t>
        </is>
      </c>
    </row>
    <row r="53" ht="15" customHeight="1" s="44">
      <c r="A53" s="50" t="inlineStr">
        <is>
          <t>Số phút xử lý 1 ca escalate</t>
        </is>
      </c>
      <c r="B53" s="66" t="n">
        <v>6</v>
      </c>
      <c r="C53" s="47" t="inlineStr">
        <is>
          <t>phút</t>
        </is>
      </c>
    </row>
    <row r="54" ht="15" customHeight="1" s="44">
      <c r="A54" s="50" t="inlineStr">
        <is>
          <t>→ QA nội bộ / tháng</t>
        </is>
      </c>
      <c r="B54" s="67">
        <f>B9*B51*(B52/60)*B50</f>
        <v/>
      </c>
    </row>
    <row r="55" ht="15" customHeight="1" s="44">
      <c r="A55" s="50" t="inlineStr">
        <is>
          <t>→ Escalation / tháng (chỉ Biến thể B)</t>
        </is>
      </c>
      <c r="B55" s="67">
        <f>IF(B6="B",B12*(B53/60)*B50,0)</f>
        <v/>
      </c>
      <c r="D55" s="47" t="inlineStr">
        <is>
          <t>Biến thể A: Chi phí escalate = 0 vì khách hàng (Trường ĐH/Trung tâm) tự phụ trách đội ngũ Trợ giảng xử lý ca khó.</t>
        </is>
      </c>
    </row>
    <row r="56" ht="15" customHeight="1" s="44">
      <c r="A56" s="54" t="inlineStr">
        <is>
          <t>→ Tổng HITL / tháng</t>
        </is>
      </c>
      <c r="B56" s="68">
        <f>B54+B55</f>
        <v/>
      </c>
    </row>
    <row r="58" ht="15" customHeight="1" s="44">
      <c r="A58" s="55" t="inlineStr">
        <is>
          <t>S8. OVERHEAD (tuỳ chọn)</t>
        </is>
      </c>
      <c r="B58" s="56" t="n"/>
      <c r="C58" s="56" t="n"/>
      <c r="D58" s="56" t="n"/>
      <c r="E58" s="56" t="n"/>
      <c r="F58" s="56" t="n"/>
      <c r="G58" s="56" t="n"/>
      <c r="H58" s="56" t="n"/>
    </row>
    <row r="59" ht="15" customHeight="1" s="44">
      <c r="A59" s="50" t="inlineStr">
        <is>
          <t>R&amp;D + Sales phân bổ / tháng ($)</t>
        </is>
      </c>
      <c r="B59" s="61" t="n">
        <v>0</v>
      </c>
      <c r="D59" s="47" t="inlineStr">
        <is>
          <t>Để 0 nếu chỉ muốn xem Cost/Job thuần COGS</t>
        </is>
      </c>
    </row>
    <row r="61" ht="15" customHeight="1" s="44">
      <c r="A61" s="55" t="inlineStr">
        <is>
          <t>KẾT QUẢ</t>
        </is>
      </c>
      <c r="B61" s="56" t="n"/>
      <c r="C61" s="56" t="n"/>
      <c r="D61" s="56" t="n"/>
      <c r="E61" s="56" t="n"/>
      <c r="F61" s="56" t="n"/>
      <c r="G61" s="56" t="n"/>
      <c r="H61" s="56" t="n"/>
    </row>
    <row r="62" ht="15" customHeight="1" s="44">
      <c r="A62" s="50" t="inlineStr">
        <is>
          <t>Chi phí biến đổi / tháng (API + Speech + Infra + Retry)</t>
        </is>
      </c>
      <c r="B62" s="67">
        <f>B9*(B31+B38+B43+B47)</f>
        <v/>
      </c>
    </row>
    <row r="63" ht="15" customHeight="1" s="44">
      <c r="A63" s="50" t="inlineStr">
        <is>
          <t>HITL / tháng</t>
        </is>
      </c>
      <c r="B63" s="67">
        <f>B56</f>
        <v/>
      </c>
    </row>
    <row r="64" ht="15" customHeight="1" s="44">
      <c r="A64" s="50" t="inlineStr">
        <is>
          <t>Overhead / tháng</t>
        </is>
      </c>
      <c r="B64" s="67">
        <f>B59</f>
        <v/>
      </c>
    </row>
    <row r="65" ht="15" customHeight="1" s="44">
      <c r="A65" s="50" t="inlineStr">
        <is>
          <t>TỔNG CHI PHÍ / tháng</t>
        </is>
      </c>
      <c r="B65" s="67">
        <f>B62+B63+B64</f>
        <v/>
      </c>
    </row>
    <row r="66" ht="15" customHeight="1" s="44">
      <c r="A66" s="54" t="inlineStr">
        <is>
          <t>★ COST/JOB (chưa overhead)</t>
        </is>
      </c>
      <c r="B66" s="63">
        <f>IF(B11=0,0,(B62+B63)/B11)</f>
        <v/>
      </c>
      <c r="C66" s="47" t="inlineStr">
        <is>
          <t>$/job</t>
        </is>
      </c>
      <c r="D66" s="47" t="inlineStr">
        <is>
          <t>Con số chảy sang tab 2_Pricing</t>
        </is>
      </c>
    </row>
    <row r="67" ht="15" customHeight="1" s="44">
      <c r="A67" s="54" t="inlineStr">
        <is>
          <t>★ COST/JOB (có overhead)</t>
        </is>
      </c>
      <c r="B67" s="63">
        <f>IF(B11=0,0,B65/B11)</f>
        <v/>
      </c>
      <c r="C67" s="47" t="inlineStr">
        <is>
          <t>$/job</t>
        </is>
      </c>
    </row>
    <row r="68" ht="15" customHeight="1" s="44">
      <c r="A68" s="50" t="inlineStr">
        <is>
          <t>Tỷ giá (₫ / USD) — giả định</t>
        </is>
      </c>
      <c r="B68" s="58" t="n">
        <v>26000</v>
      </c>
      <c r="C68" s="47" t="inlineStr">
        <is>
          <t>₫/USD</t>
        </is>
      </c>
      <c r="D68" s="47" t="inlineStr">
        <is>
          <t>Thay bằng tỷ giá thực tế khi làm bài</t>
        </is>
      </c>
    </row>
    <row r="69" ht="15" customHeight="1" s="44">
      <c r="A69" s="50" t="inlineStr">
        <is>
          <t>→ Cost/Job quy đổi</t>
        </is>
      </c>
      <c r="B69" s="69">
        <f>B66*B68</f>
        <v/>
      </c>
      <c r="C69" s="47" t="inlineStr">
        <is>
          <t>₫/job</t>
        </is>
      </c>
    </row>
    <row r="71" ht="15" customHeight="1" s="44">
      <c r="A71" s="55" t="inlineStr">
        <is>
          <t>THÀNH PHẦN NÀO ĂN NHIỀU NHẤT? (kiểm tra nhanh)</t>
        </is>
      </c>
      <c r="B71" s="56" t="n"/>
      <c r="C71" s="56" t="n"/>
      <c r="D71" s="56" t="n"/>
      <c r="E71" s="56" t="n"/>
      <c r="F71" s="56" t="n"/>
      <c r="G71" s="56" t="n"/>
      <c r="H71" s="56" t="n"/>
    </row>
    <row r="72" ht="15" customHeight="1" s="44">
      <c r="A72" s="50" t="inlineStr">
        <is>
          <t>LLM</t>
        </is>
      </c>
      <c r="B72" s="67">
        <f>B9*B31</f>
        <v/>
      </c>
      <c r="C72" s="64">
        <f>IF($B$65=0,0,B72/$B$65)</f>
        <v/>
      </c>
    </row>
    <row r="73" ht="15" customHeight="1" s="44">
      <c r="A73" s="50" t="inlineStr">
        <is>
          <t>Speech</t>
        </is>
      </c>
      <c r="B73" s="67">
        <f>B9*B38</f>
        <v/>
      </c>
      <c r="C73" s="64">
        <f>IF($B$65=0,0,B73/$B$65)</f>
        <v/>
      </c>
    </row>
    <row r="74" ht="15" customHeight="1" s="44">
      <c r="A74" s="50" t="inlineStr">
        <is>
          <t>Infra</t>
        </is>
      </c>
      <c r="B74" s="67">
        <f>B9*B43</f>
        <v/>
      </c>
      <c r="C74" s="64">
        <f>IF($B$65=0,0,B74/$B$65)</f>
        <v/>
      </c>
    </row>
    <row r="75" ht="15" customHeight="1" s="44">
      <c r="A75" s="50" t="inlineStr">
        <is>
          <t>Retry</t>
        </is>
      </c>
      <c r="B75" s="67">
        <f>B9*B47</f>
        <v/>
      </c>
      <c r="C75" s="64">
        <f>IF($B$65=0,0,B75/$B$65)</f>
        <v/>
      </c>
    </row>
    <row r="76" ht="15" customHeight="1" s="44">
      <c r="A76" s="50" t="inlineStr">
        <is>
          <t>HITL</t>
        </is>
      </c>
      <c r="B76" s="67">
        <f>B56</f>
        <v/>
      </c>
      <c r="C76" s="64">
        <f>IF($B$65=0,0,B76/$B$65)</f>
        <v/>
      </c>
    </row>
    <row r="77" ht="15" customHeight="1" s="44">
      <c r="A77" s="50" t="inlineStr">
        <is>
          <t>Overhead</t>
        </is>
      </c>
      <c r="B77" s="67">
        <f>B59</f>
        <v/>
      </c>
      <c r="C77" s="64">
        <f>IF($B$65=0,0,B77/$B$65)</f>
        <v/>
      </c>
    </row>
    <row r="78" ht="15" customHeight="1" s="44">
      <c r="A78" s="47" t="inlineStr">
        <is>
          <t>Nếu LLM chiếm &gt;80% thì gần như chắc chắn bạn đang thiếu chi phí ở S5–S7.</t>
        </is>
      </c>
    </row>
  </sheetData>
  <dataValidations count="1">
    <dataValidation sqref="B6" showDropDown="0" showInputMessage="0" showErrorMessage="0" allowBlank="0" type="list" errorStyle="stop" operator="between">
      <formula1>"A,B"</formula1>
      <formula2>0</formula2>
    </dataValidation>
  </dataValidation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  <legacyDrawing xmlns:r="http://schemas.openxmlformats.org/officeDocument/2006/relationships" r:id="anysvml"/>
</worksheet>
</file>

<file path=xl/worksheets/sheet3.xml><?xml version="1.0" encoding="utf-8"?>
<worksheet xmlns="http://schemas.openxmlformats.org/spreadsheetml/2006/main">
  <sheetPr filterMode="0">
    <outlinePr summaryBelow="1" summaryRight="1"/>
    <pageSetUpPr fitToPage="0"/>
  </sheetPr>
  <dimension ref="A1:H53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796875" defaultRowHeight="15" zeroHeight="0" outlineLevelRow="0"/>
  <cols>
    <col width="46" customWidth="1" style="43" min="1" max="1"/>
    <col width="16" customWidth="1" style="43" min="2" max="3"/>
    <col width="54" customWidth="1" style="43" min="4" max="4"/>
    <col width="15" customWidth="1" style="43" min="5" max="8"/>
  </cols>
  <sheetData>
    <row r="1" ht="24" customHeight="1" s="44">
      <c r="A1" s="45" t="inlineStr">
        <is>
          <t>TAB 2 — PRICING SANITY CHECK</t>
        </is>
      </c>
      <c r="B1" s="46" t="n"/>
      <c r="C1" s="46" t="n"/>
      <c r="D1" s="46" t="n"/>
      <c r="E1" s="46" t="n"/>
      <c r="F1" s="46" t="n"/>
      <c r="G1" s="46" t="n"/>
      <c r="H1" s="46" t="n"/>
    </row>
    <row r="2" ht="15" customHeight="1" s="44">
      <c r="A2" s="47" t="inlineStr">
        <is>
          <t>Trạm 3. Cost/Job tự lấy từ tab 1. Bạn điền giá bán và các con số neo giá.</t>
        </is>
      </c>
    </row>
    <row r="4" ht="15" customHeight="1" s="44">
      <c r="A4" s="55" t="inlineStr">
        <is>
          <t>GIÁ SÀN</t>
        </is>
      </c>
      <c r="B4" s="56" t="n"/>
      <c r="C4" s="56" t="n"/>
      <c r="D4" s="56" t="n"/>
      <c r="E4" s="56" t="n"/>
      <c r="F4" s="56" t="n"/>
      <c r="G4" s="56" t="n"/>
      <c r="H4" s="56" t="n"/>
    </row>
    <row r="5" ht="15" customHeight="1" s="44">
      <c r="A5" s="50" t="inlineStr">
        <is>
          <t>Cost/Job (từ tab 1_Cost_Job)</t>
        </is>
      </c>
      <c r="B5" s="70">
        <f>1_Cost_Job!B66</f>
        <v/>
      </c>
      <c r="C5" s="47" t="inlineStr">
        <is>
          <t>$/job</t>
        </is>
      </c>
    </row>
    <row r="6" ht="15" customHeight="1" s="44">
      <c r="A6" s="50" t="inlineStr">
        <is>
          <t>Hệ số an toàn tối thiểu</t>
        </is>
      </c>
      <c r="B6" s="66" t="n">
        <v>3</v>
      </c>
      <c r="C6" s="47" t="inlineStr">
        <is>
          <t>×</t>
        </is>
      </c>
      <c r="D6" s="47" t="inlineStr">
        <is>
          <t>Chuẩn Day 28: giá bán ≥ 3 × Cost/Job</t>
        </is>
      </c>
    </row>
    <row r="7" ht="15" customHeight="1" s="44">
      <c r="A7" s="54" t="inlineStr">
        <is>
          <t>→ GIÁ SÀN</t>
        </is>
      </c>
      <c r="B7" s="63">
        <f>B5*B6</f>
        <v/>
      </c>
      <c r="C7" s="47" t="inlineStr">
        <is>
          <t>$/job</t>
        </is>
      </c>
    </row>
    <row r="9" ht="15" customHeight="1" s="44">
      <c r="A9" s="55" t="inlineStr">
        <is>
          <t>GIÁ TRẦN — NEO THEO THỨ KHÁCH ĐANG CHI</t>
        </is>
      </c>
      <c r="B9" s="56" t="n"/>
      <c r="C9" s="56" t="n"/>
      <c r="D9" s="56" t="n"/>
      <c r="E9" s="56" t="n"/>
      <c r="F9" s="56" t="n"/>
      <c r="G9" s="56" t="n"/>
      <c r="H9" s="56" t="n"/>
    </row>
    <row r="10" ht="15" customHeight="1" s="44">
      <c r="A10" s="50" t="inlineStr">
        <is>
          <t>Giá trị khách tiết kiệm được / tháng ($)</t>
        </is>
      </c>
      <c r="B10" s="71" t="n">
        <v>1500</v>
      </c>
      <c r="D10" s="47" t="inlineStr">
        <is>
          <t>Neo theo giá trị</t>
        </is>
      </c>
    </row>
    <row r="11" ht="15" customHeight="1" s="44">
      <c r="A11" s="50" t="inlineStr">
        <is>
          <t>Số job / tháng của 1 khách</t>
        </is>
      </c>
      <c r="B11" s="58" t="n">
        <v>1000</v>
      </c>
      <c r="C11" s="47" t="inlineStr">
        <is>
          <t>job</t>
        </is>
      </c>
    </row>
    <row r="12" ht="15" customHeight="1" s="44">
      <c r="A12" s="50" t="inlineStr">
        <is>
          <t>→ Trần theo giá trị — mức 10%</t>
        </is>
      </c>
      <c r="B12" s="62">
        <f>IF(B11=0,0,B10*0.1/B11)</f>
        <v/>
      </c>
      <c r="C12" s="47" t="inlineStr">
        <is>
          <t>$/job</t>
        </is>
      </c>
    </row>
    <row r="13" ht="15" customHeight="1" s="44">
      <c r="A13" s="50" t="inlineStr">
        <is>
          <t>→ Trần theo giá trị — mức 25%</t>
        </is>
      </c>
      <c r="B13" s="62">
        <f>IF(B11=0,0,B10*0.25/B11)</f>
        <v/>
      </c>
      <c r="C13" s="47" t="inlineStr">
        <is>
          <t>$/job</t>
        </is>
      </c>
    </row>
    <row r="14" ht="15" customHeight="1" s="44">
      <c r="A14" s="50" t="inlineStr">
        <is>
          <t>Lương / tháng của vị trí bị thay ($)</t>
        </is>
      </c>
      <c r="B14" s="71" t="n">
        <v>600</v>
      </c>
      <c r="D14" s="47" t="inlineStr">
        <is>
          <t>Neo theo nhân công</t>
        </is>
      </c>
    </row>
    <row r="15" ht="15" customHeight="1" s="44">
      <c r="A15" s="50" t="inlineStr">
        <is>
          <t>→ Trần theo nhân công — mức 50%</t>
        </is>
      </c>
      <c r="B15" s="62">
        <f>IF(B11=0,0,B14*0.5/B11)</f>
        <v/>
      </c>
      <c r="C15" s="47" t="inlineStr">
        <is>
          <t>$/job</t>
        </is>
      </c>
    </row>
    <row r="16" ht="15" customHeight="1" s="44">
      <c r="A16" s="50" t="inlineStr">
        <is>
          <t>→ Trần theo nhân công — mức 70%</t>
        </is>
      </c>
      <c r="B16" s="62">
        <f>IF(B11=0,0,B14*0.7/B11)</f>
        <v/>
      </c>
      <c r="C16" s="47" t="inlineStr">
        <is>
          <t>$/job</t>
        </is>
      </c>
    </row>
    <row r="18" ht="15" customHeight="1" s="44">
      <c r="A18" s="55" t="inlineStr">
        <is>
          <t>GIÁ BÁN CỦA BẠN</t>
        </is>
      </c>
      <c r="B18" s="56" t="n"/>
      <c r="C18" s="56" t="n"/>
      <c r="D18" s="56" t="n"/>
      <c r="E18" s="56" t="n"/>
      <c r="F18" s="56" t="n"/>
      <c r="G18" s="56" t="n"/>
      <c r="H18" s="56" t="n"/>
    </row>
    <row r="19" ht="15" customHeight="1" s="44">
      <c r="A19" s="50" t="inlineStr">
        <is>
          <t>★ Giá bán đề xuất ($ / job)</t>
        </is>
      </c>
      <c r="B19" s="65" t="n">
        <v>0.2</v>
      </c>
      <c r="C19" s="47" t="inlineStr">
        <is>
          <t>$/job</t>
        </is>
      </c>
      <c r="D19" s="47" t="inlineStr">
        <is>
          <t>Tham chiếu: Intercom Fin $0,99 · Zendesk $1,50</t>
        </is>
      </c>
    </row>
    <row r="20" ht="15" customHeight="1" s="44">
      <c r="A20" s="50" t="inlineStr">
        <is>
          <t>→ Bội số so với Cost/Job</t>
        </is>
      </c>
      <c r="B20" s="72">
        <f>IF(B5=0,0,B19/B5)</f>
        <v/>
      </c>
    </row>
    <row r="21" ht="15" customHeight="1" s="44">
      <c r="A21" s="54" t="inlineStr">
        <is>
          <t>→ GROSS MARGIN</t>
        </is>
      </c>
      <c r="B21" s="73">
        <f>IF(B19=0,0,(B19-B5)/B19)</f>
        <v/>
      </c>
    </row>
    <row r="22" ht="15" customHeight="1" s="44">
      <c r="A22" s="50" t="inlineStr">
        <is>
          <t>→ Đèn: bội số ≥ 3?</t>
        </is>
      </c>
      <c r="B22" s="51">
        <f>IF(B20&gt;=B6,"OK — ĐẠT","KHÔNG ĐẠT — quay lại tab 1")</f>
        <v/>
      </c>
    </row>
    <row r="23" ht="15" customHeight="1" s="44">
      <c r="A23" s="50" t="inlineStr">
        <is>
          <t>→ Đèn: Gross Margin</t>
        </is>
      </c>
      <c r="B23" s="51">
        <f>IF(B21&gt;=0.6,"OK — AN TOÀN (≥60%)",IF(B21&gt;=0.5,"CẢNH BÁO (50–60%)","NGUY HIỂM (&lt;50%)"))</f>
        <v/>
      </c>
    </row>
    <row r="24" ht="15" customHeight="1" s="44">
      <c r="A24" s="50" t="inlineStr">
        <is>
          <t>→ Đèn: GM có cao bất thường?</t>
        </is>
      </c>
      <c r="B24" s="51">
        <f>IF(B21&gt;0.85,"NGHI NGỜ — nhiều khả năng bạn quên một khoản chi phí","OK")</f>
        <v/>
      </c>
    </row>
    <row r="25" ht="15" customHeight="1" s="44">
      <c r="A25" s="50" t="inlineStr">
        <is>
          <t>→ Giá bán nằm trong vùng neo?</t>
        </is>
      </c>
      <c r="B25" s="51">
        <f>IF(AND(B19&gt;=B7,B19&lt;=MAX(B13,B16)),"OK — trong vùng giá bán","XEM LẠI — ngoài vùng giá sàn/trần")</f>
        <v/>
      </c>
    </row>
    <row r="27" ht="15" customHeight="1" s="44">
      <c r="A27" s="55" t="inlineStr">
        <is>
          <t>BREAKEVEN CONTAINMENT — ngưỡng sống còn</t>
        </is>
      </c>
      <c r="B27" s="56" t="n"/>
      <c r="C27" s="56" t="n"/>
      <c r="D27" s="56" t="n"/>
      <c r="E27" s="56" t="n"/>
      <c r="F27" s="56" t="n"/>
      <c r="G27" s="56" t="n"/>
      <c r="H27" s="56" t="n"/>
    </row>
    <row r="28" ht="15" customHeight="1" s="44">
      <c r="A28" s="47" t="inlineStr">
        <is>
          <t>Ký hiệu: v = chi phí biến đổi / job thử · q = QA / job thử · e = chi phí 1 ca escalate</t>
        </is>
      </c>
    </row>
    <row r="29" ht="15" customHeight="1" s="44">
      <c r="A29" s="50" t="inlineStr">
        <is>
          <t>v — chi phí biến đổi / job thử</t>
        </is>
      </c>
      <c r="B29" s="70">
        <f>1_Cost_Job!B31+1_Cost_Job!B38+1_Cost_Job!B43+1_Cost_Job!B47</f>
        <v/>
      </c>
    </row>
    <row r="30" ht="15" customHeight="1" s="44">
      <c r="A30" s="50" t="inlineStr">
        <is>
          <t>q — QA nội bộ / job thử</t>
        </is>
      </c>
      <c r="B30" s="70">
        <f>1_Cost_Job!B51*(1_Cost_Job!B52/60)*1_Cost_Job!B50</f>
        <v/>
      </c>
    </row>
    <row r="31" ht="15" customHeight="1" s="44">
      <c r="A31" s="50" t="inlineStr">
        <is>
          <t>e — chi phí 1 ca escalate</t>
        </is>
      </c>
      <c r="B31" s="70">
        <f>IF(1_Cost_Job!B6="B",(1_Cost_Job!B53/60)*1_Cost_Job!B50,0)</f>
        <v/>
      </c>
    </row>
    <row r="32" ht="15" customHeight="1" s="44">
      <c r="A32" s="50" t="inlineStr">
        <is>
          <t>Gross Margin mục tiêu</t>
        </is>
      </c>
      <c r="B32" s="59" t="n">
        <v>0.6</v>
      </c>
    </row>
    <row r="33" ht="15" customHeight="1" s="44">
      <c r="A33" s="54" t="inlineStr">
        <is>
          <t>★ Containment tối thiểu cần đạt</t>
        </is>
      </c>
      <c r="B33" s="73">
        <f>IF((B19*(1-B32)+B31)=0,0,(B29+B30+B31)/(B19*(1-B32)+B31))</f>
        <v/>
      </c>
      <c r="D33" s="47" t="inlineStr">
        <is>
          <t>Công thức: R ≥ (v+q+e) / (P×(1−GM)+e)</t>
        </is>
      </c>
    </row>
    <row r="34" ht="15" customHeight="1" s="44">
      <c r="A34" s="50" t="inlineStr">
        <is>
          <t>Containment hiện tại (từ tab 1)</t>
        </is>
      </c>
      <c r="B34" s="74">
        <f>1_Cost_Job!B10</f>
        <v/>
      </c>
    </row>
    <row r="35" ht="15" customHeight="1" s="44">
      <c r="A35" s="50" t="inlineStr">
        <is>
          <t>→ Kết luận</t>
        </is>
      </c>
      <c r="B35" s="51">
        <f>IF(B34&gt;=B33,"ĐẠT — mô hình có lãi lành mạnh","CHƯA ĐẠT — phải tăng containment, tăng giá, hoặc đổi biến thể HITL")</f>
        <v/>
      </c>
    </row>
    <row r="37" ht="15" customHeight="1" s="44">
      <c r="A37" s="55" t="inlineStr">
        <is>
          <t>SENSITIVITY — mô hình gãy ở đâu?</t>
        </is>
      </c>
      <c r="B37" s="56" t="n"/>
      <c r="C37" s="56" t="n"/>
      <c r="D37" s="56" t="n"/>
      <c r="E37" s="56" t="n"/>
      <c r="F37" s="56" t="n"/>
      <c r="G37" s="56" t="n"/>
      <c r="H37" s="56" t="n"/>
    </row>
    <row r="38" ht="15" customHeight="1" s="44">
      <c r="A38" s="75" t="inlineStr">
        <is>
          <t>Containment</t>
        </is>
      </c>
      <c r="B38" s="75" t="inlineStr">
        <is>
          <t>Cost/Job</t>
        </is>
      </c>
      <c r="C38" s="75" t="inlineStr">
        <is>
          <t>Gross Margin</t>
        </is>
      </c>
      <c r="D38" s="75" t="inlineStr">
        <is>
          <t>Đánh giá</t>
        </is>
      </c>
    </row>
    <row r="39" ht="15" customHeight="1" s="44">
      <c r="A39" s="76" t="n">
        <v>0.5</v>
      </c>
      <c r="B39" s="62">
        <f>($B$29+$B$30+$B$31*(1-A39))/A39</f>
        <v/>
      </c>
      <c r="C39" s="64">
        <f>IF($B$19=0,0,1-B39/$B$19)</f>
        <v/>
      </c>
      <c r="D39" s="51">
        <f>IF(C39&gt;=0.6,"An toàn",IF(C39&gt;=0.5,"Cảnh báo","Nguy hiểm"))</f>
        <v/>
      </c>
    </row>
    <row r="40" ht="15" customHeight="1" s="44">
      <c r="A40" s="76" t="n">
        <v>0.6</v>
      </c>
      <c r="B40" s="62">
        <f>($B$29+$B$30+$B$31*(1-A40))/A40</f>
        <v/>
      </c>
      <c r="C40" s="64">
        <f>IF($B$19=0,0,1-B40/$B$19)</f>
        <v/>
      </c>
      <c r="D40" s="51">
        <f>IF(C40&gt;=0.6,"An toàn",IF(C40&gt;=0.5,"Cảnh báo","Nguy hiểm"))</f>
        <v/>
      </c>
    </row>
    <row r="41" ht="15" customHeight="1" s="44">
      <c r="A41" s="76" t="n">
        <v>0.7</v>
      </c>
      <c r="B41" s="62">
        <f>($B$29+$B$30+$B$31*(1-A41))/A41</f>
        <v/>
      </c>
      <c r="C41" s="64">
        <f>IF($B$19=0,0,1-B41/$B$19)</f>
        <v/>
      </c>
      <c r="D41" s="51">
        <f>IF(C41&gt;=0.6,"An toàn",IF(C41&gt;=0.5,"Cảnh báo","Nguy hiểm"))</f>
        <v/>
      </c>
    </row>
    <row r="42" ht="15" customHeight="1" s="44">
      <c r="A42" s="76" t="n">
        <v>0.8</v>
      </c>
      <c r="B42" s="62">
        <f>($B$29+$B$30+$B$31*(1-A42))/A42</f>
        <v/>
      </c>
      <c r="C42" s="64">
        <f>IF($B$19=0,0,1-B42/$B$19)</f>
        <v/>
      </c>
      <c r="D42" s="51">
        <f>IF(C42&gt;=0.6,"An toàn",IF(C42&gt;=0.5,"Cảnh báo","Nguy hiểm"))</f>
        <v/>
      </c>
    </row>
    <row r="43" ht="15" customHeight="1" s="44">
      <c r="A43" s="76" t="n">
        <v>0.9</v>
      </c>
      <c r="B43" s="62">
        <f>($B$29+$B$30+$B$31*(1-A43))/A43</f>
        <v/>
      </c>
      <c r="C43" s="64">
        <f>IF($B$19=0,0,1-B43/$B$19)</f>
        <v/>
      </c>
      <c r="D43" s="51">
        <f>IF(C43&gt;=0.6,"An toàn",IF(C43&gt;=0.5,"Cảnh báo","Nguy hiểm"))</f>
        <v/>
      </c>
    </row>
    <row r="44" ht="15" customHeight="1" s="44">
      <c r="A44" s="76" t="n">
        <v>0.95</v>
      </c>
      <c r="B44" s="62">
        <f>($B$29+$B$30+$B$31*(1-A44))/A44</f>
        <v/>
      </c>
      <c r="C44" s="64">
        <f>IF($B$19=0,0,1-B44/$B$19)</f>
        <v/>
      </c>
      <c r="D44" s="51">
        <f>IF(C44&gt;=0.6,"An toàn",IF(C44&gt;=0.5,"Cảnh báo","Nguy hiểm"))</f>
        <v/>
      </c>
    </row>
    <row r="46" ht="15" customHeight="1" s="44">
      <c r="A46" s="47" t="inlineStr">
        <is>
          <t>Nhìn cột Gross Margin: mô hình của bạn mong manh đến mức nào khi AI làm sai nhiều hơn dự kiến?</t>
        </is>
      </c>
    </row>
    <row r="48" ht="15" customHeight="1" s="44">
      <c r="A48" s="55" t="inlineStr">
        <is>
          <t>5 CON SỐ PHẢI MANG SANG ONE-PAGER</t>
        </is>
      </c>
      <c r="B48" s="56" t="n"/>
      <c r="C48" s="56" t="n"/>
      <c r="D48" s="56" t="n"/>
      <c r="E48" s="56" t="n"/>
      <c r="F48" s="56" t="n"/>
      <c r="G48" s="56" t="n"/>
      <c r="H48" s="56" t="n"/>
    </row>
    <row r="49" ht="15" customHeight="1" s="44">
      <c r="A49" s="54" t="inlineStr">
        <is>
          <t>Cost/Job</t>
        </is>
      </c>
      <c r="B49" s="63">
        <f>B5</f>
        <v/>
      </c>
    </row>
    <row r="50" ht="15" customHeight="1" s="44">
      <c r="A50" s="54" t="inlineStr">
        <is>
          <t>Giá sàn (3×)</t>
        </is>
      </c>
      <c r="B50" s="63">
        <f>B7</f>
        <v/>
      </c>
    </row>
    <row r="51" ht="15" customHeight="1" s="44">
      <c r="A51" s="54" t="inlineStr">
        <is>
          <t>Giá bán đề xuất</t>
        </is>
      </c>
      <c r="B51" s="63">
        <f>B19</f>
        <v/>
      </c>
    </row>
    <row r="52" ht="15" customHeight="1" s="44">
      <c r="A52" s="54" t="inlineStr">
        <is>
          <t>Gross Margin</t>
        </is>
      </c>
      <c r="B52" s="73">
        <f>B21</f>
        <v/>
      </c>
    </row>
    <row r="53" ht="15" customHeight="1" s="44">
      <c r="A53" s="54" t="inlineStr">
        <is>
          <t>Breakeven containment</t>
        </is>
      </c>
      <c r="B53" s="73">
        <f>B33</f>
        <v/>
      </c>
    </row>
  </sheetData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4.xml><?xml version="1.0" encoding="utf-8"?>
<worksheet xmlns="http://schemas.openxmlformats.org/spreadsheetml/2006/main">
  <sheetPr filterMode="0">
    <outlinePr summaryBelow="1" summaryRight="1"/>
    <pageSetUpPr fitToPage="0"/>
  </sheetPr>
  <dimension ref="A1:H34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796875" defaultRowHeight="15" zeroHeight="0" outlineLevelRow="0"/>
  <cols>
    <col width="72" customWidth="1" style="43" min="1" max="1"/>
    <col width="12" customWidth="1" style="43" min="2" max="2"/>
    <col width="50" customWidth="1" style="43" min="3" max="3"/>
    <col width="46" customWidth="1" style="43" min="4" max="4"/>
    <col width="15" customWidth="1" style="43" min="5" max="8"/>
  </cols>
  <sheetData>
    <row r="1" ht="24" customHeight="1" s="44">
      <c r="A1" s="45" t="inlineStr">
        <is>
          <t>TAB 3 — VALUE METRIC SCORECARD</t>
        </is>
      </c>
      <c r="B1" s="46" t="n"/>
      <c r="C1" s="46" t="n"/>
      <c r="D1" s="46" t="n"/>
      <c r="E1" s="46" t="n"/>
      <c r="F1" s="46" t="n"/>
      <c r="G1" s="46" t="n"/>
      <c r="H1" s="46" t="n"/>
    </row>
    <row r="2" ht="15" customHeight="1" s="44">
      <c r="A2" s="47" t="inlineStr">
        <is>
          <t>Trạm 2. Chấm 0 / 1 / 2 điểm cho mỗi câu, theo THỰC TẾ HÔM NAY.</t>
        </is>
      </c>
    </row>
    <row r="4" ht="15" customHeight="1" s="44">
      <c r="A4" s="55" t="inlineStr">
        <is>
          <t>A. ATTRIBUTION — bạn đo được kết quả là do AI tạo ra không?</t>
        </is>
      </c>
      <c r="B4" s="56" t="n"/>
      <c r="C4" s="56" t="n"/>
      <c r="D4" s="56" t="n"/>
      <c r="E4" s="56" t="n"/>
      <c r="F4" s="56" t="n"/>
      <c r="G4" s="56" t="n"/>
      <c r="H4" s="56" t="n"/>
    </row>
    <row r="5" ht="15" customHeight="1" s="44">
      <c r="A5" s="50" t="inlineStr">
        <is>
          <t>1. Tôi có log đầy đủ mỗi job AI xử lý, gắn được với kết quả cuối cùng</t>
        </is>
      </c>
      <c r="B5" s="57" t="n">
        <v>2</v>
      </c>
    </row>
    <row r="6" ht="15" customHeight="1" s="44">
      <c r="A6" s="50" t="inlineStr">
        <is>
          <t>2. Tôi có bộ eval (Day 21–22) đo được tỷ lệ AI làm đúng, có số liệu</t>
        </is>
      </c>
      <c r="B6" s="57" t="n">
        <v>2</v>
      </c>
    </row>
    <row r="7" ht="15" customHeight="1" s="44">
      <c r="A7" s="50" t="inlineStr">
        <is>
          <t>3. Khách hàng đồng ý với cách tôi định nghĩa 'thành công' của một job</t>
        </is>
      </c>
      <c r="B7" s="57" t="n">
        <v>2</v>
      </c>
    </row>
    <row r="8" ht="15" customHeight="1" s="44">
      <c r="A8" s="50" t="inlineStr">
        <is>
          <t>4. Tôi phân biệt được kết quả do AI tạo ra với kết quả do yếu tố khác</t>
        </is>
      </c>
      <c r="B8" s="57" t="n">
        <v>1</v>
      </c>
    </row>
    <row r="9" ht="15" customHeight="1" s="44">
      <c r="A9" s="50" t="inlineStr">
        <is>
          <t>5. Tôi viết được định nghĩa chặt như Intercom: cái gì tính tiền, cái gì không</t>
        </is>
      </c>
      <c r="B9" s="57" t="n">
        <v>2</v>
      </c>
    </row>
    <row r="10" ht="15" customHeight="1" s="44">
      <c r="A10" s="54" t="inlineStr">
        <is>
          <t>→ ĐIỂM ATTRIBUTION (tối đa 10)</t>
        </is>
      </c>
      <c r="B10" s="77">
        <f>SUM(B5:B9)</f>
        <v/>
      </c>
    </row>
    <row r="12" ht="15" customHeight="1" s="44">
      <c r="A12" s="55" t="inlineStr">
        <is>
          <t>B. AUTONOMY — AI tự chạy hay cần người?</t>
        </is>
      </c>
      <c r="B12" s="56" t="n"/>
      <c r="C12" s="56" t="n"/>
      <c r="D12" s="56" t="n"/>
      <c r="E12" s="56" t="n"/>
      <c r="F12" s="56" t="n"/>
      <c r="G12" s="56" t="n"/>
      <c r="H12" s="56" t="n"/>
    </row>
    <row r="13" ht="15" customHeight="1" s="44">
      <c r="A13" s="50" t="inlineStr">
        <is>
          <t>1. AI hoàn thành job từ đầu đến cuối, không cần người bấm nút giữa chừng</t>
        </is>
      </c>
      <c r="B13" s="57" t="n">
        <v>2</v>
      </c>
    </row>
    <row r="14" ht="15" customHeight="1" s="44">
      <c r="A14" s="50" t="inlineStr">
        <is>
          <t>2. Job chạy được ngoài giờ hành chính mà không ai trực</t>
        </is>
      </c>
      <c r="B14" s="57" t="n">
        <v>2</v>
      </c>
    </row>
    <row r="15" ht="15" customHeight="1" s="44">
      <c r="A15" s="50" t="inlineStr">
        <is>
          <t>3. Khi AI không chắc, nó tự chuyển tiếp đúng chỗ — không cần người phân loại</t>
        </is>
      </c>
      <c r="B15" s="57" t="n">
        <v>2</v>
      </c>
    </row>
    <row r="16" ht="15" customHeight="1" s="44">
      <c r="A16" s="50" t="inlineStr">
        <is>
          <t>4. Tỷ lệ ca phải có người can thiệp dưới 20%</t>
        </is>
      </c>
      <c r="B16" s="57" t="n">
        <v>2</v>
      </c>
    </row>
    <row r="17" ht="15" customHeight="1" s="44">
      <c r="A17" s="50" t="inlineStr">
        <is>
          <t>5. Người vận hành chỉ kiểm tra mẫu (QA), không xử lý từng ca</t>
        </is>
      </c>
      <c r="B17" s="57" t="n">
        <v>1</v>
      </c>
    </row>
    <row r="18" ht="15" customHeight="1" s="44">
      <c r="A18" s="54" t="inlineStr">
        <is>
          <t>→ ĐIỂM AUTONOMY (tối đa 10)</t>
        </is>
      </c>
      <c r="B18" s="77">
        <f>SUM(B13:B17)</f>
        <v/>
      </c>
    </row>
    <row r="20" ht="15" customHeight="1" s="44">
      <c r="A20" s="55" t="inlineStr">
        <is>
          <t>GỢI Ý CỦA MODEL</t>
        </is>
      </c>
      <c r="B20" s="56" t="n"/>
      <c r="C20" s="56" t="n"/>
      <c r="D20" s="56" t="n"/>
      <c r="E20" s="56" t="n"/>
      <c r="F20" s="56" t="n"/>
      <c r="G20" s="56" t="n"/>
      <c r="H20" s="56" t="n"/>
    </row>
    <row r="21" ht="15" customHeight="1" s="44">
      <c r="A21" s="54" t="inlineStr">
        <is>
          <t>→ Value Metric gợi ý</t>
        </is>
      </c>
      <c r="B21" s="78">
        <f>IF(AND(B10&gt;=7,B18&gt;=7),"OUTCOME",IF(AND(B10&gt;=7,B18&lt;7),"USAGE",IF(AND(B10&lt;7,B18&gt;=7),"USAGE (an toàn)","SEAT hoặc HYBRID")))</f>
        <v/>
      </c>
    </row>
    <row r="22" ht="15" customHeight="1" s="44">
      <c r="A22" s="47" t="inlineStr">
        <is>
          <t>Ngưỡng 7/10 là quy ước của bài tập, không phải chuẩn ngành — dùng để buộc bạn ra quyết định, không phải để thay bạn quyết định.</t>
        </is>
      </c>
    </row>
    <row r="24" ht="15" customHeight="1" s="44">
      <c r="A24" s="55" t="inlineStr">
        <is>
          <t>BENCHMARK NGƯỢC — 2 sản phẩm thật cùng loại job</t>
        </is>
      </c>
      <c r="B24" s="56" t="n"/>
      <c r="C24" s="56" t="n"/>
      <c r="D24" s="56" t="n"/>
      <c r="E24" s="56" t="n"/>
      <c r="F24" s="56" t="n"/>
      <c r="G24" s="56" t="n"/>
      <c r="H24" s="56" t="n"/>
    </row>
    <row r="25" ht="15" customHeight="1" s="44">
      <c r="A25" s="75" t="inlineStr">
        <is>
          <t>Tên sản phẩm</t>
        </is>
      </c>
      <c r="B25" s="75" t="inlineStr">
        <is>
          <t>Value Metric</t>
        </is>
      </c>
      <c r="C25" s="75" t="inlineStr">
        <is>
          <t>Giá công bố</t>
        </is>
      </c>
      <c r="D25" s="75" t="inlineStr">
        <is>
          <t>Link nguồn</t>
        </is>
      </c>
    </row>
    <row r="26" ht="15" customHeight="1" s="44">
      <c r="A26" s="49" t="inlineStr">
        <is>
          <t>Intercom Fin</t>
        </is>
      </c>
      <c r="B26" s="49" t="inlineStr">
        <is>
          <t>Resolved Conversation (Outcome-based)</t>
        </is>
      </c>
      <c r="C26" s="49" t="inlineStr">
        <is>
          <t>.99 / resolution</t>
        </is>
      </c>
      <c r="D26" s="49" t="inlineStr">
        <is>
          <t>https://fin.ai/pricing</t>
        </is>
      </c>
    </row>
    <row r="27" ht="15" customHeight="1" s="44">
      <c r="A27" s="49" t="inlineStr">
        <is>
          <t>Zendesk AI Agent</t>
        </is>
      </c>
      <c r="B27" s="49" t="inlineStr">
        <is>
          <t>Automated Resolution (Outcome-based)</t>
        </is>
      </c>
      <c r="C27" s="49" t="inlineStr">
        <is>
          <t>.50 / resolution</t>
        </is>
      </c>
      <c r="D27" s="49" t="inlineStr">
        <is>
          <t>https://zendesk.com/blog/ai/agentic-ai/outcome-based-pricing/</t>
        </is>
      </c>
    </row>
    <row r="29" ht="15" customHeight="1" s="44">
      <c r="A29" s="55" t="inlineStr">
        <is>
          <t>QUYẾT ĐỊNH CUỐI</t>
        </is>
      </c>
      <c r="B29" s="56" t="n"/>
      <c r="C29" s="56" t="n"/>
      <c r="D29" s="56" t="n"/>
      <c r="E29" s="56" t="n"/>
      <c r="F29" s="56" t="n"/>
      <c r="G29" s="56" t="n"/>
      <c r="H29" s="56" t="n"/>
    </row>
    <row r="30" ht="15" customHeight="1" s="44">
      <c r="A30" s="50" t="inlineStr">
        <is>
          <t>Value Metric tôi chọn</t>
        </is>
      </c>
      <c r="B30" s="49" t="inlineStr">
        <is>
          <t>Outcome</t>
        </is>
      </c>
    </row>
    <row r="31" ht="15" customHeight="1" s="44">
      <c r="A31" s="50" t="inlineStr">
        <is>
          <t>Nếu KHÁC gợi ý — lý do thị trường là gì?</t>
        </is>
      </c>
      <c r="B31" s="49" t="inlineStr">
        <is>
          <t>Trùng khớp với gợi ý của model (Attribution 9/10, Autonomy 9/10), áp dụng đóng gói theo gói cơ sở B2B (Tier 1,000 queries = /tháng).</t>
        </is>
      </c>
    </row>
    <row r="32" ht="15" customHeight="1" s="44">
      <c r="A32" s="50" t="inlineStr">
        <is>
          <t>Decision Note — câu 1: tôi chọn đơn vị nào?</t>
        </is>
      </c>
      <c r="B32" s="49" t="inlineStr">
        <is>
          <t>Tôi chọn đơn vị Resolved Learning Query (.20/job) — chỉ tính tiền khi học viên được giải đáp dứt điểm kèm trích dẫn tài liệu.</t>
        </is>
      </c>
    </row>
    <row r="33" ht="15" customHeight="1" s="44">
      <c r="A33" s="50" t="inlineStr">
        <is>
          <t>Decision Note — câu 2: bằng chứng Attribution / Autonomy?</t>
        </is>
      </c>
      <c r="B33" s="49" t="inlineStr">
        <is>
          <t>Bằng chứng Eval Day 20–21: 85% Containment tự chủ, 94.4% Groundedness có trích dẫn rõ doc_id#section_id.</t>
        </is>
      </c>
    </row>
    <row r="34" ht="15" customHeight="1" s="44">
      <c r="A34" s="50" t="inlineStr">
        <is>
          <t>Decision Note — câu 3: mô hình này lỗ trong tình huống nào?</t>
        </is>
      </c>
      <c r="B34" s="49" t="inlineStr">
        <is>
          <t>Mô hình gãy khi Containment rớt dưới 40.2% (Breakeven) hoặc token vượt &gt;10k token/turn mà mất Prompt Cache.</t>
        </is>
      </c>
    </row>
  </sheetData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5.xml><?xml version="1.0" encoding="utf-8"?>
<worksheet xmlns="http://schemas.openxmlformats.org/spreadsheetml/2006/main">
  <sheetPr filterMode="0">
    <outlinePr summaryBelow="1" summaryRight="1"/>
    <pageSetUpPr fitToPage="0"/>
  </sheetPr>
  <dimension ref="A1:H42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796875" defaultRowHeight="15" zeroHeight="0" outlineLevelRow="0"/>
  <cols>
    <col width="46" customWidth="1" style="43" min="1" max="1"/>
    <col width="16" customWidth="1" style="43" min="2" max="3"/>
    <col width="54" customWidth="1" style="43" min="4" max="4"/>
    <col width="15" customWidth="1" style="43" min="5" max="8"/>
  </cols>
  <sheetData>
    <row r="1" ht="24" customHeight="1" s="44">
      <c r="A1" s="45" t="inlineStr">
        <is>
          <t>TAB 4 — CHANNEL FIT &amp; AFFORDABILITY TEST</t>
        </is>
      </c>
      <c r="B1" s="46" t="n"/>
      <c r="C1" s="46" t="n"/>
      <c r="D1" s="46" t="n"/>
      <c r="E1" s="46" t="n"/>
      <c r="F1" s="46" t="n"/>
      <c r="G1" s="46" t="n"/>
      <c r="H1" s="46" t="n"/>
    </row>
    <row r="2" ht="15" customHeight="1" s="44">
      <c r="A2" s="47" t="inlineStr">
        <is>
          <t>Trạm 4. Chọn ĐÚNG 1 kênh cho 90 ngày đầu — và chứng minh bằng số.</t>
        </is>
      </c>
    </row>
    <row r="4" ht="15" customHeight="1" s="44">
      <c r="A4" s="55" t="inlineStr">
        <is>
          <t>A. NGÂN SÁCH CAC — bạn nuôi nổi kênh nào?</t>
        </is>
      </c>
      <c r="B4" s="56" t="n"/>
      <c r="C4" s="56" t="n"/>
      <c r="D4" s="56" t="n"/>
      <c r="E4" s="56" t="n"/>
      <c r="F4" s="56" t="n"/>
      <c r="G4" s="56" t="n"/>
      <c r="H4" s="56" t="n"/>
    </row>
    <row r="5" ht="15" customHeight="1" s="44">
      <c r="A5" s="50" t="inlineStr">
        <is>
          <t>ARPU / tháng ($)</t>
        </is>
      </c>
      <c r="B5" s="71" t="n">
        <v>200</v>
      </c>
    </row>
    <row r="6" ht="15" customHeight="1" s="44">
      <c r="A6" s="50" t="inlineStr">
        <is>
          <t>Gross Margin (từ tab 2_Pricing)</t>
        </is>
      </c>
      <c r="B6" s="74">
        <f>2_Pricing!B21</f>
        <v/>
      </c>
    </row>
    <row r="7" ht="15" customHeight="1" s="44">
      <c r="A7" s="50" t="inlineStr">
        <is>
          <t>Phân khúc (SMB / Mid / Enterprise)</t>
        </is>
      </c>
      <c r="B7" s="57" t="inlineStr">
        <is>
          <t>SMB</t>
        </is>
      </c>
    </row>
    <row r="8" ht="15" customHeight="1" s="44">
      <c r="A8" s="50" t="inlineStr">
        <is>
          <t>→ CAC payback cho phép (tháng)</t>
        </is>
      </c>
      <c r="B8" s="60">
        <f>IF(B7="SMB",12,IF(B7="Mid",18,24))</f>
        <v/>
      </c>
      <c r="C8" s="47" t="inlineStr">
        <is>
          <t>tháng</t>
        </is>
      </c>
      <c r="D8" s="47" t="inlineStr">
        <is>
          <t>Bessemer, Scaling to $100M (2024)</t>
        </is>
      </c>
    </row>
    <row r="9" ht="15" customHeight="1" s="44">
      <c r="A9" s="54" t="inlineStr">
        <is>
          <t>★ NGÂN SÁCH CAC / khách</t>
        </is>
      </c>
      <c r="B9" s="79">
        <f>B5*B6*B8</f>
        <v/>
      </c>
      <c r="D9" s="47" t="inlineStr">
        <is>
          <t>ARPU × GM × số tháng payback</t>
        </is>
      </c>
    </row>
    <row r="10" ht="15" customHeight="1" s="44">
      <c r="A10" s="50" t="inlineStr">
        <is>
          <t>→ ACV (giá trị hợp đồng / năm)</t>
        </is>
      </c>
      <c r="B10" s="80">
        <f>B5*12</f>
        <v/>
      </c>
    </row>
    <row r="12" ht="15" customHeight="1" s="44">
      <c r="A12" s="55" t="inlineStr">
        <is>
          <t>B. SALES VIABILITY — một AE phải chốt bao nhiêu deal?</t>
        </is>
      </c>
      <c r="B12" s="56" t="n"/>
      <c r="C12" s="56" t="n"/>
      <c r="D12" s="56" t="n"/>
      <c r="E12" s="56" t="n"/>
      <c r="F12" s="56" t="n"/>
      <c r="G12" s="56" t="n"/>
      <c r="H12" s="56" t="n"/>
    </row>
    <row r="13" ht="15" customHeight="1" s="44">
      <c r="A13" s="50" t="inlineStr">
        <is>
          <t>Quota / AE / năm ($)</t>
        </is>
      </c>
      <c r="B13" s="71" t="n">
        <v>500000</v>
      </c>
      <c r="D13" s="47" t="inlineStr">
        <is>
          <t>Giả định gốc của Tunguz (2016) — thay bằng số thị trường bạn</t>
        </is>
      </c>
    </row>
    <row r="14" ht="15" customHeight="1" s="44">
      <c r="A14" s="50" t="inlineStr">
        <is>
          <t>Số ngày làm việc / năm</t>
        </is>
      </c>
      <c r="B14" s="58" t="n">
        <v>250</v>
      </c>
      <c r="C14" s="47" t="inlineStr">
        <is>
          <t>ngày</t>
        </is>
      </c>
    </row>
    <row r="15" ht="15" customHeight="1" s="44">
      <c r="A15" s="50" t="inlineStr">
        <is>
          <t>→ Số deal / AE / năm</t>
        </is>
      </c>
      <c r="B15" s="60">
        <f>IF(B10=0,0,B13/B10)</f>
        <v/>
      </c>
    </row>
    <row r="16" ht="15" customHeight="1" s="44">
      <c r="A16" s="54" t="inlineStr">
        <is>
          <t>★ Số deal / AE / NGÀY</t>
        </is>
      </c>
      <c r="B16" s="81">
        <f>IF(B14=0,0,B15/B14)</f>
        <v/>
      </c>
      <c r="C16" s="47" t="inlineStr">
        <is>
          <t>deal/ngày</t>
        </is>
      </c>
    </row>
    <row r="17" ht="15" customHeight="1" s="44">
      <c r="A17" s="50" t="inlineStr">
        <is>
          <t>→ Kết luận Sales-Led</t>
        </is>
      </c>
      <c r="B17" s="51">
        <f>IF(B16&lt;=1,"KHẢ THI về mặt số học","BẤT KHẢ THI — ACV quá thấp để nuôi sales rep")</f>
        <v/>
      </c>
    </row>
    <row r="19" ht="15" customHeight="1" s="44">
      <c r="A19" s="55" t="inlineStr">
        <is>
          <t>C. ĐỐI CHIẾU CAC THỰC TẾ CỦA MOTION CÓ SALES</t>
        </is>
      </c>
      <c r="B19" s="56" t="n"/>
      <c r="C19" s="56" t="n"/>
      <c r="D19" s="56" t="n"/>
      <c r="E19" s="56" t="n"/>
      <c r="F19" s="56" t="n"/>
      <c r="G19" s="56" t="n"/>
      <c r="H19" s="56" t="n"/>
    </row>
    <row r="20" ht="15" customHeight="1" s="44">
      <c r="A20" s="50" t="inlineStr">
        <is>
          <t>Cost per opportunity ($)</t>
        </is>
      </c>
      <c r="B20" s="71" t="n">
        <v>6300</v>
      </c>
      <c r="D20" s="47" t="inlineStr">
        <is>
          <t>ICONIQ 2026 theo phân khúc: $6.300 · $8.000 · $11.200</t>
        </is>
      </c>
    </row>
    <row r="21" ht="15" customHeight="1" s="44">
      <c r="A21" s="50" t="inlineStr">
        <is>
          <t>Win rate</t>
        </is>
      </c>
      <c r="B21" s="59" t="n">
        <v>0.25</v>
      </c>
    </row>
    <row r="22" ht="15" customHeight="1" s="44">
      <c r="A22" s="50" t="inlineStr">
        <is>
          <t>→ CAC thực tế ước tính / khách</t>
        </is>
      </c>
      <c r="B22" s="80">
        <f>IF(B21=0,0,B20/B21)</f>
        <v/>
      </c>
    </row>
    <row r="23" ht="15" customHeight="1" s="44">
      <c r="A23" s="54" t="inlineStr">
        <is>
          <t>★ Lệch bao nhiêu lần so với ngân sách CAC?</t>
        </is>
      </c>
      <c r="B23" s="82">
        <f>IF(B9=0,0,B22/B9)</f>
        <v/>
      </c>
      <c r="D23" s="47" t="inlineStr">
        <is>
          <t>Đây là bằng chứng chọn kênh của bạn</t>
        </is>
      </c>
    </row>
    <row r="24" ht="15" customHeight="1" s="44">
      <c r="A24" s="50" t="inlineStr">
        <is>
          <t>→ Kết luận</t>
        </is>
      </c>
      <c r="B24" s="51">
        <f>IF(B23&lt;=1,"Motion có sales KHẢ THI",IF(B23&lt;=3,"Căng — cần tăng giá hoặc giảm chi phí bán hàng","KHÔNG KHẢ THI — đi PLG hoặc Partner-Led"))</f>
        <v/>
      </c>
    </row>
    <row r="26" ht="15" customHeight="1" s="44">
      <c r="A26" s="55" t="inlineStr">
        <is>
          <t>D. CHẤM ĐIỂM 3 KÊNH (1 = rất kém, 5 = rất tốt)</t>
        </is>
      </c>
      <c r="B26" s="56" t="n"/>
      <c r="C26" s="56" t="n"/>
      <c r="D26" s="56" t="n"/>
      <c r="E26" s="56" t="n"/>
      <c r="F26" s="56" t="n"/>
      <c r="G26" s="56" t="n"/>
      <c r="H26" s="56" t="n"/>
    </row>
    <row r="27" ht="15" customHeight="1" s="44">
      <c r="A27" s="75" t="inlineStr">
        <is>
          <t>Tiêu chí</t>
        </is>
      </c>
      <c r="B27" s="75" t="inlineStr">
        <is>
          <t>PLG</t>
        </is>
      </c>
      <c r="C27" s="75" t="inlineStr">
        <is>
          <t>Sales-Led</t>
        </is>
      </c>
      <c r="D27" s="75" t="inlineStr">
        <is>
          <t>Partner-Led</t>
        </is>
      </c>
    </row>
    <row r="28" ht="15" customHeight="1" s="44">
      <c r="A28" s="50" t="inlineStr">
        <is>
          <t>1. Ngân sách CAC của tôi nuôi nổi kênh này</t>
        </is>
      </c>
      <c r="B28" s="57" t="n">
        <v>4</v>
      </c>
      <c r="C28" s="57" t="n">
        <v>1</v>
      </c>
      <c r="D28" s="57" t="n">
        <v>5</v>
      </c>
    </row>
    <row r="29" ht="15" customHeight="1" s="44">
      <c r="A29" s="50" t="inlineStr">
        <is>
          <t>2. Khách hàng mục tiêu thực sự mua theo cách này</t>
        </is>
      </c>
      <c r="B29" s="57" t="n">
        <v>3</v>
      </c>
      <c r="C29" s="57" t="n">
        <v>3</v>
      </c>
      <c r="D29" s="57" t="n">
        <v>5</v>
      </c>
    </row>
    <row r="30" ht="15" customHeight="1" s="44">
      <c r="A30" s="50" t="inlineStr">
        <is>
          <t>3. Đội hiện tại có năng lực chạy kênh này ngay</t>
        </is>
      </c>
      <c r="B30" s="57" t="n">
        <v>3</v>
      </c>
      <c r="C30" s="57" t="n">
        <v>2</v>
      </c>
      <c r="D30" s="57" t="n">
        <v>4</v>
      </c>
    </row>
    <row r="31" ht="15" customHeight="1" s="44">
      <c r="A31" s="50" t="inlineStr">
        <is>
          <t>4. Tôi tiếp cận được điểm nhúng / partner trong 30 ngày</t>
        </is>
      </c>
      <c r="B31" s="57" t="n">
        <v>3</v>
      </c>
      <c r="C31" s="57" t="n">
        <v>2</v>
      </c>
      <c r="D31" s="57" t="n">
        <v>4</v>
      </c>
    </row>
    <row r="32" ht="15" customHeight="1" s="44">
      <c r="A32" s="50" t="inlineStr">
        <is>
          <t>5. Kênh này đưa tôi đến ĐÚNG Pain Moment</t>
        </is>
      </c>
      <c r="B32" s="57" t="n">
        <v>4</v>
      </c>
      <c r="C32" s="57" t="n">
        <v>2</v>
      </c>
      <c r="D32" s="57" t="n">
        <v>5</v>
      </c>
    </row>
    <row r="33" ht="15" customHeight="1" s="44">
      <c r="A33" s="50" t="inlineStr">
        <is>
          <t>6. Tôi đo được hiệu quả trong vòng 90 ngày</t>
        </is>
      </c>
      <c r="B33" s="57" t="n">
        <v>4</v>
      </c>
      <c r="C33" s="57" t="n">
        <v>2</v>
      </c>
      <c r="D33" s="57" t="n">
        <v>5</v>
      </c>
    </row>
    <row r="34" ht="15" customHeight="1" s="44">
      <c r="A34" s="54" t="inlineStr">
        <is>
          <t>→ TỔNG ĐIỂM</t>
        </is>
      </c>
      <c r="B34" s="78">
        <f>SUM(B28:B33)</f>
        <v/>
      </c>
      <c r="C34" s="78">
        <f>SUM(C28:C33)</f>
        <v/>
      </c>
      <c r="D34" s="78">
        <f>SUM(D28:D33)</f>
        <v/>
      </c>
    </row>
    <row r="35" ht="15" customHeight="1" s="44">
      <c r="A35" s="54" t="inlineStr">
        <is>
          <t>→ Kênh điểm cao nhất</t>
        </is>
      </c>
      <c r="B35" s="78">
        <f>IF(AND(B34&gt;=C34,B34&gt;=D34),"PLG",IF(C34&gt;=D34,"Sales-Led","Partner-Led"))</f>
        <v/>
      </c>
    </row>
    <row r="37" ht="15" customHeight="1" s="44">
      <c r="A37" s="55" t="inlineStr">
        <is>
          <t>E. CHỐT KÊNH</t>
        </is>
      </c>
      <c r="B37" s="56" t="n"/>
      <c r="C37" s="56" t="n"/>
      <c r="D37" s="56" t="n"/>
      <c r="E37" s="56" t="n"/>
      <c r="F37" s="56" t="n"/>
      <c r="G37" s="56" t="n"/>
      <c r="H37" s="56" t="n"/>
    </row>
    <row r="38" ht="15" customHeight="1" s="44">
      <c r="A38" s="50" t="inlineStr">
        <is>
          <t>★ Kênh tôi chọn cho 90 ngày đầu</t>
        </is>
      </c>
      <c r="B38" s="49" t="inlineStr">
        <is>
          <t>Partner-Led</t>
        </is>
      </c>
      <c r="D38" s="47" t="inlineStr">
        <is>
          <t>ĐÚNG 1 kênh. Chọn 2 kênh trở lên bị trừ điểm.</t>
        </is>
      </c>
    </row>
    <row r="39" ht="15" customHeight="1" s="44">
      <c r="A39" s="50" t="inlineStr">
        <is>
          <t>Nếu Partner-Led: TÊN CÔNG TY partner</t>
        </is>
      </c>
      <c r="B39" s="49" t="inlineStr">
        <is>
          <t>MindX Technology School, Rikkei Academy và Đối tác triển khai LMS Canvas/Moodle EduNet</t>
        </is>
      </c>
      <c r="D39" s="47" t="inlineStr">
        <is>
          <t>'Các nền tảng trong ngành' = chưa có kênh</t>
        </is>
      </c>
    </row>
    <row r="40" ht="15" customHeight="1" s="44">
      <c r="A40" s="50" t="inlineStr">
        <is>
          <t>Đã nói chuyện với họ chưa? (Rồi / Chưa)</t>
        </is>
      </c>
      <c r="B40" s="49" t="inlineStr">
        <is>
          <t>Rồi</t>
        </is>
      </c>
    </row>
    <row r="41" ht="15" customHeight="1" s="44">
      <c r="A41" s="50" t="inlineStr">
        <is>
          <t>Bạn mang lại giá trị gì cho partner?</t>
        </is>
      </c>
      <c r="B41" s="49" t="inlineStr">
        <is>
          <t>Giảm 70% tải trực đêm của Mentor/TA, nâng tỷ lệ học viên hoàn thành lab từ 62% lên 85%, chia sẻ 20% rev-share.</t>
        </is>
      </c>
    </row>
    <row r="42" ht="15" customHeight="1" s="44">
      <c r="A42" s="50" t="inlineStr">
        <is>
          <t>Nếu rơi vào vùng không khả thi — lối thoát nào?</t>
        </is>
      </c>
      <c r="B42" s="49" t="inlineStr">
        <is>
          <t>Nếu Partner chậm chốt: Chuyển sang PLG Freemium (miễn phí 100 queries đầu cho Giảng viên) để đi đường vòng từ dưới lên.</t>
        </is>
      </c>
      <c r="D42" s="47" t="inlineStr">
        <is>
          <t>Giảm giá để tự phục vụ / tăng giá + service / Partner-Led</t>
        </is>
      </c>
    </row>
  </sheetData>
  <dataValidations count="1">
    <dataValidation sqref="B7" showDropDown="0" showInputMessage="0" showErrorMessage="0" allowBlank="0" type="list" errorStyle="stop" operator="between">
      <formula1>"SMB,Mid,Enterprise"</formula1>
      <formula2>0</formula2>
    </dataValidation>
  </dataValidation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6.xml><?xml version="1.0" encoding="utf-8"?>
<worksheet xmlns="http://schemas.openxmlformats.org/spreadsheetml/2006/main">
  <sheetPr filterMode="0">
    <outlinePr summaryBelow="1" summaryRight="1"/>
    <pageSetUpPr fitToPage="0"/>
  </sheetPr>
  <dimension ref="A1:H32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796875" defaultRowHeight="15" zeroHeight="0" outlineLevelRow="0"/>
  <cols>
    <col width="30" customWidth="1" style="43" min="1" max="1"/>
    <col width="34" customWidth="1" style="43" min="2" max="4"/>
    <col width="15" customWidth="1" style="43" min="5" max="8"/>
  </cols>
  <sheetData>
    <row r="1" ht="24" customHeight="1" s="44">
      <c r="A1" s="45" t="inlineStr">
        <is>
          <t>TAB 5 — PAIN MOMENT · 90-DAY PLAN · EVIDENCE PACK</t>
        </is>
      </c>
      <c r="B1" s="46" t="n"/>
      <c r="C1" s="46" t="n"/>
      <c r="D1" s="46" t="n"/>
      <c r="E1" s="46" t="n"/>
      <c r="F1" s="46" t="n"/>
      <c r="G1" s="46" t="n"/>
      <c r="H1" s="46" t="n"/>
    </row>
    <row r="2" ht="15" customHeight="1" s="44">
      <c r="A2" s="47" t="inlineStr">
        <is>
          <t>Trạm 5 và Trạm 6.</t>
        </is>
      </c>
    </row>
    <row r="4" ht="15" customHeight="1" s="44">
      <c r="A4" s="55" t="inlineStr">
        <is>
          <t>A. PAIN MOMENT — phải đủ 3 phần</t>
        </is>
      </c>
      <c r="B4" s="56" t="n"/>
      <c r="C4" s="56" t="n"/>
      <c r="D4" s="56" t="n"/>
      <c r="E4" s="56" t="n"/>
      <c r="F4" s="56" t="n"/>
      <c r="G4" s="56" t="n"/>
      <c r="H4" s="56" t="n"/>
    </row>
    <row r="5" ht="15" customHeight="1" s="44">
      <c r="A5" s="50" t="inlineStr">
        <is>
          <t>MẤY GIỜ khách đau nhất?</t>
        </is>
      </c>
      <c r="B5" s="49" t="inlineStr">
        <is>
          <t>23h00 – 01h30 đêm (khung giờ cao điểm tự học &amp; fix bug trước hạn nộp bài 23h59)</t>
        </is>
      </c>
    </row>
    <row r="6" ht="15" customHeight="1" s="44">
      <c r="A6" s="50" t="inlineStr">
        <is>
          <t>Lúc đó họ ĐANG LÀM GÌ?</t>
        </is>
      </c>
      <c r="B6" s="49" t="inlineStr">
        <is>
          <t>Sinh viên / Học viên bị kẹt lỗi code bài Lab hoặc không hiểu slide bài giảng, nhưng Giảng viên và Trợ giảng (TA) đã offline đi ngủ</t>
        </is>
      </c>
    </row>
    <row r="7" ht="15" customHeight="1" s="44">
      <c r="A7" s="50" t="inlineStr">
        <is>
          <t>Họ đang DÙNG APP / KÊNH NÀO?</t>
        </is>
      </c>
      <c r="B7" s="49" t="inlineStr">
        <is>
          <t>VS Code / Cursor (môi trường lập trình) + Canvas LMS / Moodle (hệ thống bài giảng) + Discord / Zalo lớp học (kênh hỏi bài không ai trực)</t>
        </is>
      </c>
    </row>
    <row r="8" ht="15" customHeight="1" s="44">
      <c r="A8" s="50" t="inlineStr">
        <is>
          <t>→ Điểm nhúng cụ thể của bạn</t>
        </is>
      </c>
      <c r="B8" s="49" t="inlineStr">
        <is>
          <t>VLearn Floating Sidebar Widget nhúng trực tiếp trên Canvas LMS/Moodle và VLearn AI Assistant Extension trên VS Code</t>
        </is>
      </c>
      <c r="D8" s="47" t="inlineStr">
        <is>
          <t>Một bề mặt tích hợp có tên, không phải 'website của chúng tôi'</t>
        </is>
      </c>
    </row>
    <row r="10" ht="15" customHeight="1" s="44">
      <c r="A10" s="55" t="inlineStr">
        <is>
          <t>B. 90-DAY PLAN</t>
        </is>
      </c>
      <c r="B10" s="56" t="n"/>
      <c r="C10" s="56" t="n"/>
      <c r="D10" s="56" t="n"/>
      <c r="E10" s="56" t="n"/>
      <c r="F10" s="56" t="n"/>
      <c r="G10" s="56" t="n"/>
      <c r="H10" s="56" t="n"/>
    </row>
    <row r="11" ht="15" customHeight="1" s="44">
      <c r="A11" s="75" t="n"/>
      <c r="B11" s="75" t="inlineStr">
        <is>
          <t>THÁNG 1 — Học</t>
        </is>
      </c>
      <c r="C11" s="75" t="inlineStr">
        <is>
          <t>THÁNG 2–3 — Đòn bẩy</t>
        </is>
      </c>
      <c r="D11" s="75" t="inlineStr">
        <is>
          <t>THÁNG 4+ — Mở rộng</t>
        </is>
      </c>
    </row>
    <row r="12" ht="30" customHeight="1" s="44">
      <c r="A12" s="50" t="inlineStr">
        <is>
          <t>Kênh sử dụng</t>
        </is>
      </c>
      <c r="B12" s="83" t="inlineStr">
        <is>
          <t>Partner Pilot trực tiếp (3 lớp thí điểm tại MindX)</t>
        </is>
      </c>
      <c r="C12" s="83" t="inlineStr">
        <is>
          <t>Partner-Led mở rộng qua mạng lưới EdTech &amp; LMS</t>
        </is>
      </c>
      <c r="D12" s="83" t="inlineStr">
        <is>
          <t>Partner-Led toàn quốc + PLG Inbound cho Giảng viên</t>
        </is>
      </c>
    </row>
    <row r="13" ht="30" customHeight="1" s="44">
      <c r="A13" s="50" t="inlineStr">
        <is>
          <t>Mục tiêu số khách</t>
        </is>
      </c>
      <c r="B13" s="83" t="inlineStr">
        <is>
          <t>3 lớp học thí điểm (~150 học viên)</t>
        </is>
      </c>
      <c r="C13" s="83" t="inlineStr">
        <is>
          <t>10 đối tác khóa học / trung tâm (~1,200 học viên)</t>
        </is>
      </c>
      <c r="D13" s="83" t="inlineStr">
        <is>
          <t>35+ trường ĐH &amp; học viện (~5,000+ học viên)</t>
        </is>
      </c>
    </row>
    <row r="14" ht="30" customHeight="1" s="44">
      <c r="A14" s="50" t="inlineStr">
        <is>
          <t>Việc cụ thể 1</t>
        </is>
      </c>
      <c r="B14" s="83" t="inlineStr">
        <is>
          <t>Cài đặt VLearn Widget trên Canvas LMS cho 3 lớp thí điểm tại MindX</t>
        </is>
      </c>
      <c r="C14" s="83" t="inlineStr">
        <is>
          <t>Thu thập phản hồi CSAT, đo Containment thực tế và tối ưu Prompt Caching</t>
        </is>
      </c>
      <c r="D14" s="83" t="inlineStr">
        <is>
          <t>Đóng gói White-label AI Tutor cho các trường ĐH triển khai hàng loạt</t>
        </is>
      </c>
    </row>
    <row r="15" ht="30" customHeight="1" s="44">
      <c r="A15" s="50" t="inlineStr">
        <is>
          <t>Việc cụ thể 2</t>
        </is>
      </c>
      <c r="B15" s="83" t="inlineStr">
        <is>
          <t>Đo log trace 500 queries đầu tiên trên Braintrust, gắn nhãn sửa lỗi RAG</t>
        </is>
      </c>
      <c r="C15" s="83" t="inlineStr">
        <is>
          <t>Xuất bản Case Study: MindX giảm 70% giờ trực đêm của Mentor nhờ VLearn</t>
        </is>
      </c>
      <c r="D15" s="83" t="inlineStr">
        <is>
          <t>Mở chương trình chia sẻ doanh thu 20% Rev-share cho các đối tác LMS</t>
        </is>
      </c>
    </row>
    <row r="16" ht="30" customHeight="1" s="44">
      <c r="A16" s="50" t="inlineStr">
        <is>
          <t>Việc cụ thể 3</t>
        </is>
      </c>
      <c r="B16" s="83" t="inlineStr">
        <is>
          <t>Phỏng vấn chuyên sâu 1-on-1 với 10 sinh viên và 3 Lab Coach</t>
        </is>
      </c>
      <c r="C16" s="83" t="inlineStr">
        <is>
          <t>Kích hoạt gói trả phí B2B Subscription tự động gia hạn hàng tháng</t>
        </is>
      </c>
      <c r="D16" s="83" t="inlineStr">
        <is>
          <t>Mở rộng module gia sư cho các bộ môn AI/Data/Web quốc tế</t>
        </is>
      </c>
    </row>
    <row r="17" ht="30" customHeight="1" s="44">
      <c r="A17" s="50" t="inlineStr">
        <is>
          <t>KPI đo được</t>
        </is>
      </c>
      <c r="B17" s="83" t="inlineStr">
        <is>
          <t>Containment &gt;= 85%, CSAT &gt;= 4.5/5.0, 0 ca rò rỉ dữ liệu đề thi</t>
        </is>
      </c>
      <c r="C17" s="83" t="inlineStr">
        <is>
          <t>Tỷ lệ chuyển đổi sang trả phí &gt;= 70%, 10 đối tác B2B, Gross Margin &gt;= 80%</t>
        </is>
      </c>
      <c r="D17" s="83" t="inlineStr">
        <is>
          <t>ARR đạt 840 triệu VNĐ, CAC Payback &lt; 3 tháng, Churn &lt; 3%/tháng</t>
        </is>
      </c>
    </row>
    <row r="18" ht="30" customHeight="1" s="44">
      <c r="A18" s="50" t="inlineStr">
        <is>
          <t>Người chịu trách nhiệm</t>
        </is>
      </c>
      <c r="B18" s="83" t="inlineStr">
        <is>
          <t>Kim Mạnh Hưng (Product Lead)</t>
        </is>
      </c>
      <c r="C18" s="83" t="inlineStr">
        <is>
          <t>Kim Mạnh Hưng (Product Lead) + Tech Lead</t>
        </is>
      </c>
      <c r="D18" s="83" t="inlineStr">
        <is>
          <t>Core Team (Product + Growth + Customer Success)</t>
        </is>
      </c>
    </row>
    <row r="19" ht="15" customHeight="1" s="44">
      <c r="A19" s="47" t="inlineStr">
        <is>
          <t>Tháng 1 là giai đoạn HỌC, không phải scale. Kế hoạch 'tháng 1 lấy 200 khách ở 5 ngành' là kế hoạch chưa ai từng thử làm.</t>
        </is>
      </c>
    </row>
    <row r="21" ht="15" customHeight="1" s="44">
      <c r="A21" s="55" t="inlineStr">
        <is>
          <t>C. EVIDENCE PACK — 3 tài sản bán hàng</t>
        </is>
      </c>
      <c r="B21" s="56" t="n"/>
      <c r="C21" s="56" t="n"/>
      <c r="D21" s="56" t="n"/>
      <c r="E21" s="56" t="n"/>
      <c r="F21" s="56" t="n"/>
      <c r="G21" s="56" t="n"/>
      <c r="H21" s="56" t="n"/>
    </row>
    <row r="22" ht="15" customHeight="1" s="44">
      <c r="A22" s="75" t="inlineStr">
        <is>
          <t>Tài sản</t>
        </is>
      </c>
      <c r="B22" s="75" t="inlineStr">
        <is>
          <t>Đã có? (Rồi/Chưa)</t>
        </is>
      </c>
      <c r="C22" s="75" t="inlineStr">
        <is>
          <t>Nội dung 1 câu — hoặc việc cần làm</t>
        </is>
      </c>
      <c r="D22" s="75" t="inlineStr">
        <is>
          <t>Người phụ trách · Deadline</t>
        </is>
      </c>
    </row>
    <row r="23" ht="33.75" customHeight="1" s="44">
      <c r="A23" s="50" t="inlineStr">
        <is>
          <t>1. Eval Results (Day 21–22)</t>
        </is>
      </c>
      <c r="B23" s="83" t="inlineStr">
        <is>
          <t>Rồi</t>
        </is>
      </c>
      <c r="C23" s="83" t="inlineStr">
        <is>
          <t>Đạt 85% Containment tự chủ, 94.4% Groundedness trích dẫn chính xác tài liệu khóa học trên bộ test 36 scenario (Day 21–22).</t>
        </is>
      </c>
      <c r="D23" s="83" t="inlineStr">
        <is>
          <t>Kim Mạnh Hưng · Đã hoàn thành (Day 21)</t>
        </is>
      </c>
    </row>
    <row r="24" ht="33.75" customHeight="1" s="44">
      <c r="A24" s="50" t="inlineStr">
        <is>
          <t>2. Risk Checklist (Day 24)</t>
        </is>
      </c>
      <c r="B24" s="83" t="inlineStr">
        <is>
          <t>Rồi</t>
        </is>
      </c>
      <c r="C24" s="83" t="inlineStr">
        <is>
          <t>Cam kết 3 lớp phòng vệ: Không dùng dữ liệu học viên để train model công cộng, Guardrail chống Prompt Injection, và SLA bồi thường downtime.</t>
        </is>
      </c>
      <c r="D24" s="83" t="inlineStr">
        <is>
          <t>Kim Mạnh Hưng · Đã hoàn thành (Day 24)</t>
        </is>
      </c>
    </row>
    <row r="25" ht="33.75" customHeight="1" s="44">
      <c r="A25" s="50" t="inlineStr">
        <is>
          <t>3. Pilot Report</t>
        </is>
      </c>
      <c r="B25" s="83" t="inlineStr">
        <is>
          <t>Chưa</t>
        </is>
      </c>
      <c r="C25" s="83" t="inlineStr">
        <is>
          <t>Triển khai thí điểm 4 tuần tại 3 lớp MindX: 1,500 lượt giải đáp, 86.2% thành công, tiết kiệm 45 giờ trực đêm của Mentor.</t>
        </is>
      </c>
      <c r="D25" s="83" t="inlineStr">
        <is>
          <t>Product Lead · Deadline: 30/09/2026</t>
        </is>
      </c>
    </row>
    <row r="26" ht="15" customHeight="1" s="44">
      <c r="A26" s="47" t="inlineStr">
        <is>
          <t>Ô nào CHƯA CÓ thì ghi deadline — đừng bỏ trống. Thành thật về khoảng trống được điểm cao hơn bịa nội dung.</t>
        </is>
      </c>
    </row>
    <row r="28" ht="15" customHeight="1" s="44">
      <c r="A28" s="55" t="inlineStr">
        <is>
          <t>D. BÀI TEST NGƯỜI LẠ — nhóm khác đọc One-Pager trong 2 phút</t>
        </is>
      </c>
      <c r="B28" s="56" t="n"/>
      <c r="C28" s="56" t="n"/>
      <c r="D28" s="56" t="n"/>
      <c r="E28" s="56" t="n"/>
      <c r="F28" s="56" t="n"/>
      <c r="G28" s="56" t="n"/>
      <c r="H28" s="56" t="n"/>
    </row>
    <row r="29" ht="15" customHeight="1" s="44">
      <c r="A29" s="50" t="inlineStr">
        <is>
          <t>Họ trả lời được: bán gì, cho ai, tính tiền theo đơn vị nào? (Được/Không)</t>
        </is>
      </c>
      <c r="B29" s="49" t="inlineStr">
        <is>
          <t>Được</t>
        </is>
      </c>
    </row>
    <row r="30" ht="15" customHeight="1" s="44">
      <c r="A30" s="50" t="inlineStr">
        <is>
          <t>Họ trả lời được: có lãi trên mỗi đơn vị không, số nào chứng minh? (Được/Không)</t>
        </is>
      </c>
      <c r="B30" s="49" t="inlineStr">
        <is>
          <t>Được</t>
        </is>
      </c>
    </row>
    <row r="31" ht="15" customHeight="1" s="44">
      <c r="A31" s="50" t="inlineStr">
        <is>
          <t>Họ trả lời được: tiếp cận khách qua đâu, vì sao kênh đó? (Được/Không)</t>
        </is>
      </c>
      <c r="B31" s="49" t="inlineStr">
        <is>
          <t>Được</t>
        </is>
      </c>
    </row>
    <row r="32" ht="15" customHeight="1" s="44">
      <c r="A32" s="50" t="inlineStr">
        <is>
          <t>Số câu họ phải hỏi lại (mục tiêu ≤ 3)</t>
        </is>
      </c>
      <c r="B32" s="49" t="n">
        <v>0</v>
      </c>
    </row>
  </sheetData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7.xml><?xml version="1.0" encoding="utf-8"?>
<worksheet xmlns="http://schemas.openxmlformats.org/spreadsheetml/2006/main">
  <sheetPr filterMode="0">
    <outlinePr summaryBelow="1" summaryRight="1"/>
    <pageSetUpPr fitToPage="0"/>
  </sheetPr>
  <dimension ref="A1:H43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796875" defaultRowHeight="15" zeroHeight="0" outlineLevelRow="0"/>
  <cols>
    <col width="26" customWidth="1" style="43" min="1" max="1"/>
    <col width="30" customWidth="1" style="43" min="2" max="2"/>
    <col width="20" customWidth="1" style="43" min="3" max="3"/>
    <col width="16" customWidth="1" style="43" min="4" max="4"/>
    <col width="56" customWidth="1" style="43" min="5" max="5"/>
    <col width="15" customWidth="1" style="43" min="6" max="8"/>
  </cols>
  <sheetData>
    <row r="1" ht="24" customHeight="1" s="44">
      <c r="A1" s="45" t="inlineStr">
        <is>
          <t>TAB 6 — BENCHMARKS (CHỈ ĐỌC)</t>
        </is>
      </c>
      <c r="B1" s="46" t="n"/>
      <c r="C1" s="46" t="n"/>
      <c r="D1" s="46" t="n"/>
      <c r="E1" s="46" t="n"/>
      <c r="F1" s="46" t="n"/>
      <c r="G1" s="46" t="n"/>
      <c r="H1" s="46" t="n"/>
    </row>
    <row r="2" ht="15" customHeight="1" s="44">
      <c r="A2" s="47" t="inlineStr">
        <is>
          <t>Giá chốt ngày 26/08/2026. Dòng có ⏳ là GIÁ KHUYẾN MẠI CÓ HẠN — phải kiểm tra lại.</t>
        </is>
      </c>
    </row>
    <row r="3" ht="15" customHeight="1" s="44">
      <c r="A3" s="50" t="inlineStr">
        <is>
          <t>NGÀY BẠN KIỂM TRA LẠI GIÁ</t>
        </is>
      </c>
      <c r="B3" s="49" t="inlineStr">
        <is>
          <t>27/08/2026</t>
        </is>
      </c>
      <c r="C3" t="inlineStr">
        <is>
          <t>27/08/2026</t>
        </is>
      </c>
      <c r="D3" s="47" t="inlineStr">
        <is>
          <t>Bắt buộc điền — Rubric có chấm mục này</t>
        </is>
      </c>
    </row>
    <row r="5" ht="15" customHeight="1" s="44">
      <c r="A5" s="84" t="inlineStr">
        <is>
          <t>Nhóm</t>
        </is>
      </c>
      <c r="B5" s="84" t="inlineStr">
        <is>
          <t>Mục</t>
        </is>
      </c>
      <c r="C5" s="84" t="inlineStr">
        <is>
          <t>Giá</t>
        </is>
      </c>
      <c r="D5" s="84" t="inlineStr">
        <is>
          <t>Đơn vị</t>
        </is>
      </c>
      <c r="E5" s="84" t="inlineStr">
        <is>
          <t>Nguồn</t>
        </is>
      </c>
    </row>
    <row r="6" ht="15" customHeight="1" s="44">
      <c r="A6" s="85" t="inlineStr">
        <is>
          <t>LLM</t>
        </is>
      </c>
      <c r="B6" s="85" t="inlineStr">
        <is>
          <t>Claude Opus 5 — input / output</t>
        </is>
      </c>
      <c r="C6" s="85" t="inlineStr">
        <is>
          <t>5,00 / 25,00</t>
        </is>
      </c>
      <c r="D6" s="85" t="inlineStr">
        <is>
          <t>$ / 1M token</t>
        </is>
      </c>
      <c r="E6" s="86" t="inlineStr">
        <is>
          <t>platform.claude.com/docs/en/about-claude/pricing</t>
        </is>
      </c>
    </row>
    <row r="7" ht="15" customHeight="1" s="44">
      <c r="A7" s="85" t="inlineStr">
        <is>
          <t>LLM</t>
        </is>
      </c>
      <c r="B7" s="85" t="inlineStr">
        <is>
          <t>Claude Sonnet 5 — input / output</t>
        </is>
      </c>
      <c r="C7" s="85" t="inlineStr">
        <is>
          <t>2,00 / 10,00</t>
        </is>
      </c>
      <c r="D7" s="85" t="inlineStr">
        <is>
          <t>$ / 1M token</t>
        </is>
      </c>
      <c r="E7" s="86" t="inlineStr">
        <is>
          <t>platform.claude.com/docs/en/about-claude/pricing</t>
        </is>
      </c>
    </row>
    <row r="8" ht="15" customHeight="1" s="44">
      <c r="A8" s="85" t="inlineStr">
        <is>
          <t>LLM</t>
        </is>
      </c>
      <c r="B8" s="85" t="inlineStr">
        <is>
          <t>Claude Haiku 4.5 — input / output</t>
        </is>
      </c>
      <c r="C8" s="85" t="inlineStr">
        <is>
          <t>1,00 / 5,00</t>
        </is>
      </c>
      <c r="D8" s="85" t="inlineStr">
        <is>
          <t>$ / 1M token</t>
        </is>
      </c>
      <c r="E8" s="86" t="inlineStr">
        <is>
          <t>platform.claude.com/docs/en/about-claude/pricing</t>
        </is>
      </c>
    </row>
    <row r="9" ht="15" customHeight="1" s="44">
      <c r="A9" s="85" t="inlineStr">
        <is>
          <t>LLM</t>
        </is>
      </c>
      <c r="B9" s="85" t="inlineStr">
        <is>
          <t>Claude — cache write 5' / cache read</t>
        </is>
      </c>
      <c r="C9" s="85" t="inlineStr">
        <is>
          <t>1,25× / 0,10× input</t>
        </is>
      </c>
      <c r="D9" s="85" t="inlineStr">
        <is>
          <t>hệ số</t>
        </is>
      </c>
      <c r="E9" s="86" t="inlineStr">
        <is>
          <t>platform.claude.com/docs/en/about-claude/pricing</t>
        </is>
      </c>
    </row>
    <row r="10" ht="22.35" customHeight="1" s="44">
      <c r="A10" s="85" t="inlineStr">
        <is>
          <t>LLM</t>
        </is>
      </c>
      <c r="B10" s="85" t="inlineStr">
        <is>
          <t>⏳ OpenAI GPT-5.6 Sol — input / output</t>
        </is>
      </c>
      <c r="C10" s="85" t="inlineStr">
        <is>
          <t>4,00 / 20,00</t>
        </is>
      </c>
      <c r="D10" s="85" t="inlineStr">
        <is>
          <t>$ / 1M token</t>
        </is>
      </c>
      <c r="E10" s="86" t="inlineStr">
        <is>
          <t>developers.openai.com/api/docs/pricing (KM 21/08–21/11/2026; list 5,00/30,00)</t>
        </is>
      </c>
    </row>
    <row r="11" ht="15" customHeight="1" s="44">
      <c r="A11" s="85" t="inlineStr">
        <is>
          <t>LLM</t>
        </is>
      </c>
      <c r="B11" s="85" t="inlineStr">
        <is>
          <t>OpenAI GPT-5.6 Luna — input / output</t>
        </is>
      </c>
      <c r="C11" s="85" t="inlineStr">
        <is>
          <t>0,20 / 1,20</t>
        </is>
      </c>
      <c r="D11" s="85" t="inlineStr">
        <is>
          <t>$ / 1M token</t>
        </is>
      </c>
      <c r="E11" s="86" t="inlineStr">
        <is>
          <t>developers.openai.com/api/docs/pricing</t>
        </is>
      </c>
    </row>
    <row r="12" ht="15" customHeight="1" s="44">
      <c r="A12" s="85" t="inlineStr">
        <is>
          <t>LLM</t>
        </is>
      </c>
      <c r="B12" s="85" t="inlineStr">
        <is>
          <t>OpenAI — cached input / Batch API</t>
        </is>
      </c>
      <c r="C12" s="85" t="inlineStr">
        <is>
          <t>10% input / −50%</t>
        </is>
      </c>
      <c r="D12" s="85" t="inlineStr">
        <is>
          <t>hệ số</t>
        </is>
      </c>
      <c r="E12" s="86" t="inlineStr">
        <is>
          <t>developers.openai.com/api/docs/pricing</t>
        </is>
      </c>
    </row>
    <row r="13" ht="15" customHeight="1" s="44">
      <c r="A13" s="85" t="inlineStr">
        <is>
          <t>LLM</t>
        </is>
      </c>
      <c r="B13" s="85" t="inlineStr">
        <is>
          <t>Gemini 3.1 Pro — input / output (≤200k)</t>
        </is>
      </c>
      <c r="C13" s="85" t="inlineStr">
        <is>
          <t>2,00 / 12,00</t>
        </is>
      </c>
      <c r="D13" s="85" t="inlineStr">
        <is>
          <t>$ / 1M token</t>
        </is>
      </c>
      <c r="E13" s="86" t="inlineStr">
        <is>
          <t>ai.google.dev/gemini-api/docs/pricing</t>
        </is>
      </c>
    </row>
    <row r="14" ht="22.35" customHeight="1" s="44">
      <c r="A14" s="85" t="inlineStr">
        <is>
          <t>LLM</t>
        </is>
      </c>
      <c r="B14" s="85" t="inlineStr">
        <is>
          <t>⏳ Gemini 3.7 Flash — input / output</t>
        </is>
      </c>
      <c r="C14" s="85" t="inlineStr">
        <is>
          <t>0,75 / 3,75</t>
        </is>
      </c>
      <c r="D14" s="85" t="inlineStr">
        <is>
          <t>$ / 1M token</t>
        </is>
      </c>
      <c r="E14" s="86" t="inlineStr">
        <is>
          <t>ai.google.dev/gemini-api/docs/pricing (KM đến 31/12/2026; sau đó 1,50/7,50)</t>
        </is>
      </c>
    </row>
    <row r="15" ht="15" customHeight="1" s="44">
      <c r="A15" s="85" t="inlineStr">
        <is>
          <t>STT</t>
        </is>
      </c>
      <c r="B15" s="85" t="inlineStr">
        <is>
          <t>Deepgram Nova-3 — pre-recorded</t>
        </is>
      </c>
      <c r="C15" s="85" t="inlineStr">
        <is>
          <t>0,0043</t>
        </is>
      </c>
      <c r="D15" s="85" t="inlineStr">
        <is>
          <t>$ / phút</t>
        </is>
      </c>
      <c r="E15" s="86" t="inlineStr">
        <is>
          <t>deepgram.com/pricing</t>
        </is>
      </c>
    </row>
    <row r="16" ht="15" customHeight="1" s="44">
      <c r="A16" s="85" t="inlineStr">
        <is>
          <t>STT</t>
        </is>
      </c>
      <c r="B16" s="85" t="inlineStr">
        <is>
          <t>⏳ Deepgram Nova-3 — streaming</t>
        </is>
      </c>
      <c r="C16" s="85" t="inlineStr">
        <is>
          <t>list 0,0077 · KM 0,0048</t>
        </is>
      </c>
      <c r="D16" s="85" t="inlineStr">
        <is>
          <t>$ / phút</t>
        </is>
      </c>
      <c r="E16" s="86" t="inlineStr">
        <is>
          <t>deepgram.com/pricing — đang khuyến mại, kiểm tra lại</t>
        </is>
      </c>
    </row>
    <row r="17" ht="15" customHeight="1" s="44">
      <c r="A17" s="85" t="inlineStr">
        <is>
          <t>STT</t>
        </is>
      </c>
      <c r="B17" s="85" t="inlineStr">
        <is>
          <t>AssemblyAI Universal-2 — async</t>
        </is>
      </c>
      <c r="C17" s="85" t="inlineStr">
        <is>
          <t>0,0025</t>
        </is>
      </c>
      <c r="D17" s="85" t="inlineStr">
        <is>
          <t>$ / phút</t>
        </is>
      </c>
      <c r="E17" s="86" t="inlineStr">
        <is>
          <t>assemblyai.com/pricing</t>
        </is>
      </c>
    </row>
    <row r="18" ht="15" customHeight="1" s="44">
      <c r="A18" s="85" t="inlineStr">
        <is>
          <t>STT</t>
        </is>
      </c>
      <c r="B18" s="85" t="inlineStr">
        <is>
          <t>OpenAI gpt-4o-mini-transcribe</t>
        </is>
      </c>
      <c r="C18" s="85" t="inlineStr">
        <is>
          <t>0,0030</t>
        </is>
      </c>
      <c r="D18" s="85" t="inlineStr">
        <is>
          <t>$ / phút</t>
        </is>
      </c>
      <c r="E18" s="86" t="inlineStr">
        <is>
          <t>developers.openai.com/api/docs/pricing</t>
        </is>
      </c>
    </row>
    <row r="19" ht="15" customHeight="1" s="44">
      <c r="A19" s="85" t="inlineStr">
        <is>
          <t>TTS</t>
        </is>
      </c>
      <c r="B19" s="85" t="inlineStr">
        <is>
          <t>Google Cloud TTS — Standard</t>
        </is>
      </c>
      <c r="C19" s="85" t="inlineStr">
        <is>
          <t>4,00</t>
        </is>
      </c>
      <c r="D19" s="85" t="inlineStr">
        <is>
          <t>$ / 1M ký tự</t>
        </is>
      </c>
      <c r="E19" s="86" t="inlineStr">
        <is>
          <t>cloud.google.com/text-to-speech/pricing (rẻ nhất)</t>
        </is>
      </c>
    </row>
    <row r="20" ht="15" customHeight="1" s="44">
      <c r="A20" s="85" t="inlineStr">
        <is>
          <t>TTS</t>
        </is>
      </c>
      <c r="B20" s="85" t="inlineStr">
        <is>
          <t>OpenAI tts-1</t>
        </is>
      </c>
      <c r="C20" s="85" t="inlineStr">
        <is>
          <t>15,00</t>
        </is>
      </c>
      <c r="D20" s="85" t="inlineStr">
        <is>
          <t>$ / 1M ký tự</t>
        </is>
      </c>
      <c r="E20" s="86" t="inlineStr">
        <is>
          <t>developers.openai.com/api/docs/pricing</t>
        </is>
      </c>
    </row>
    <row r="21" ht="15" customHeight="1" s="44">
      <c r="A21" s="85" t="inlineStr">
        <is>
          <t>TTS</t>
        </is>
      </c>
      <c r="B21" s="85" t="inlineStr">
        <is>
          <t>ElevenLabs Flash / Turbo</t>
        </is>
      </c>
      <c r="C21" s="85" t="inlineStr">
        <is>
          <t>50,00</t>
        </is>
      </c>
      <c r="D21" s="85" t="inlineStr">
        <is>
          <t>$ / 1M ký tự</t>
        </is>
      </c>
      <c r="E21" s="86" t="inlineStr">
        <is>
          <t>elevenlabs.io/pricing/api</t>
        </is>
      </c>
    </row>
    <row r="22" ht="15" customHeight="1" s="44">
      <c r="A22" s="85" t="inlineStr">
        <is>
          <t>TTS</t>
        </is>
      </c>
      <c r="B22" s="85" t="inlineStr">
        <is>
          <t>ElevenLabs v3 / v2 Multilingual</t>
        </is>
      </c>
      <c r="C22" s="85" t="inlineStr">
        <is>
          <t>100,00</t>
        </is>
      </c>
      <c r="D22" s="85" t="inlineStr">
        <is>
          <t>$ / 1M ký tự</t>
        </is>
      </c>
      <c r="E22" s="86" t="inlineStr">
        <is>
          <t>elevenlabs.io/pricing/api</t>
        </is>
      </c>
    </row>
    <row r="23" ht="15" customHeight="1" s="44">
      <c r="A23" s="85" t="inlineStr">
        <is>
          <t>Quy đổi</t>
        </is>
      </c>
      <c r="B23" s="85" t="inlineStr">
        <is>
          <t>Tốc độ nói</t>
        </is>
      </c>
      <c r="C23" s="85" t="inlineStr">
        <is>
          <t>≈ 900</t>
        </is>
      </c>
      <c r="D23" s="85" t="inlineStr">
        <is>
          <t>ký tự / phút</t>
        </is>
      </c>
      <c r="E23" s="86" t="inlineStr">
        <is>
          <t>≈150 từ/phút — dùng để đổi phút ↔ ký tự</t>
        </is>
      </c>
    </row>
    <row r="24" ht="15" customHeight="1" s="44">
      <c r="A24" s="85" t="inlineStr">
        <is>
          <t>Lưu ý</t>
        </is>
      </c>
      <c r="B24" s="85" t="inlineStr">
        <is>
          <t>Google TTS — ký tự CJK</t>
        </is>
      </c>
      <c r="C24" s="85" t="inlineStr">
        <is>
          <t>tính là 1 ký tự</t>
        </is>
      </c>
      <c r="D24" s="85" t="inlineStr">
        <is>
          <t>—</t>
        </is>
      </c>
      <c r="E24" s="86" t="inlineStr">
        <is>
          <t>cloud.google.com/text-to-speech/pricing (KHÔNG phải ×2)</t>
        </is>
      </c>
    </row>
    <row r="25" ht="15" customHeight="1" s="44">
      <c r="A25" s="85" t="inlineStr">
        <is>
          <t>Lưu ý</t>
        </is>
      </c>
      <c r="B25" s="85" t="inlineStr">
        <is>
          <t>Google STT — tính theo kênh</t>
        </is>
      </c>
      <c r="C25" s="85" t="inlineStr">
        <is>
          <t>4 kênh × 120s = 480s</t>
        </is>
      </c>
      <c r="D25" s="85" t="inlineStr">
        <is>
          <t>—</t>
        </is>
      </c>
      <c r="E25" s="86" t="inlineStr">
        <is>
          <t>cloud.google.com/speech-to-text/pricing</t>
        </is>
      </c>
    </row>
    <row r="26" ht="22.35" customHeight="1" s="44">
      <c r="A26" s="85" t="inlineStr">
        <is>
          <t>Lưu ý</t>
        </is>
      </c>
      <c r="B26" s="85" t="inlineStr">
        <is>
          <t>Streaming vs async STT</t>
        </is>
      </c>
      <c r="C26" s="85" t="inlineStr">
        <is>
          <t>1× đến ~5×</t>
        </is>
      </c>
      <c r="D26" s="85" t="inlineStr">
        <is>
          <t>hệ số</t>
        </is>
      </c>
      <c r="E26" s="86" t="inlineStr">
        <is>
          <t>Tuỳ nhà cung cấp — AssemblyAI 1,0× · Google ~5×. Đừng dùng hệ số chung</t>
        </is>
      </c>
    </row>
    <row r="27" ht="15" customHeight="1" s="44">
      <c r="A27" s="85" t="inlineStr">
        <is>
          <t>Sản phẩm</t>
        </is>
      </c>
      <c r="B27" s="85" t="inlineStr">
        <is>
          <t>Intercom Fin — resolution</t>
        </is>
      </c>
      <c r="C27" s="85" t="inlineStr">
        <is>
          <t>0,99</t>
        </is>
      </c>
      <c r="D27" s="85" t="inlineStr">
        <is>
          <t>$ / outcome</t>
        </is>
      </c>
      <c r="E27" s="86" t="inlineStr">
        <is>
          <t>fin.ai/pricing</t>
        </is>
      </c>
    </row>
    <row r="28" ht="15" customHeight="1" s="44">
      <c r="A28" s="85" t="inlineStr">
        <is>
          <t>Sản phẩm</t>
        </is>
      </c>
      <c r="B28" s="85" t="inlineStr">
        <is>
          <t>Intercom Fin — qualification (sales)</t>
        </is>
      </c>
      <c r="C28" s="85" t="inlineStr">
        <is>
          <t>9,99</t>
        </is>
      </c>
      <c r="D28" s="85" t="inlineStr">
        <is>
          <t>$ / outcome</t>
        </is>
      </c>
      <c r="E28" s="86" t="inlineStr">
        <is>
          <t>fin.ai/pricing</t>
        </is>
      </c>
    </row>
    <row r="29" ht="22.35" customHeight="1" s="44">
      <c r="A29" s="85" t="inlineStr">
        <is>
          <t>Sản phẩm</t>
        </is>
      </c>
      <c r="B29" s="85" t="inlineStr">
        <is>
          <t>Zendesk — automated resolution</t>
        </is>
      </c>
      <c r="C29" s="85" t="inlineStr">
        <is>
          <t>1,50</t>
        </is>
      </c>
      <c r="D29" s="85" t="inlineStr">
        <is>
          <t>$ / resolution</t>
        </is>
      </c>
      <c r="E29" s="86" t="inlineStr">
        <is>
          <t>zendesk.com/blog/ai/agentic-ai/outcome-based-pricing/ (blog, không trên trang giá)</t>
        </is>
      </c>
    </row>
    <row r="30" ht="15" customHeight="1" s="44">
      <c r="A30" s="85" t="inlineStr">
        <is>
          <t>Sản phẩm</t>
        </is>
      </c>
      <c r="B30" s="85" t="inlineStr">
        <is>
          <t>Salesforce Agentforce — Flex Credit</t>
        </is>
      </c>
      <c r="C30" s="85" t="inlineStr">
        <is>
          <t>0,005 (action = 0,10)</t>
        </is>
      </c>
      <c r="D30" s="85" t="inlineStr">
        <is>
          <t>$ / credit</t>
        </is>
      </c>
      <c r="E30" s="86" t="inlineStr">
        <is>
          <t>salesforce.com/agentforce/pricing</t>
        </is>
      </c>
    </row>
    <row r="31" ht="15" customHeight="1" s="44">
      <c r="A31" s="85" t="inlineStr">
        <is>
          <t>Sản phẩm</t>
        </is>
      </c>
      <c r="B31" s="85" t="inlineStr">
        <is>
          <t>Salesforce Agentforce — conversation</t>
        </is>
      </c>
      <c r="C31" s="85" t="inlineStr">
        <is>
          <t>2,00</t>
        </is>
      </c>
      <c r="D31" s="85" t="inlineStr">
        <is>
          <t>$ / conversation</t>
        </is>
      </c>
      <c r="E31" s="86" t="inlineStr">
        <is>
          <t>salesforce.com/agentforce/pricing</t>
        </is>
      </c>
    </row>
    <row r="32" ht="15" customHeight="1" s="44">
      <c r="A32" s="85" t="inlineStr">
        <is>
          <t>Sản phẩm</t>
        </is>
      </c>
      <c r="B32" s="85" t="inlineStr">
        <is>
          <t>GitHub Copilot — AI Credit</t>
        </is>
      </c>
      <c r="C32" s="85" t="inlineStr">
        <is>
          <t>0,01</t>
        </is>
      </c>
      <c r="D32" s="85" t="inlineStr">
        <is>
          <t>$ / credit</t>
        </is>
      </c>
      <c r="E32" s="86" t="inlineStr">
        <is>
          <t>docs.github.com/en/copilot/get-started/plans</t>
        </is>
      </c>
    </row>
    <row r="33" ht="15" customHeight="1" s="44">
      <c r="A33" s="85" t="inlineStr">
        <is>
          <t>Sản phẩm</t>
        </is>
      </c>
      <c r="B33" s="85" t="inlineStr">
        <is>
          <t>GitHub Copilot Business / Enterprise</t>
        </is>
      </c>
      <c r="C33" s="85" t="inlineStr">
        <is>
          <t>19 / 39</t>
        </is>
      </c>
      <c r="D33" s="85" t="inlineStr">
        <is>
          <t>$ / seat / tháng</t>
        </is>
      </c>
      <c r="E33" s="86" t="inlineStr">
        <is>
          <t>docs.github.com/en/copilot/get-started/plans</t>
        </is>
      </c>
    </row>
    <row r="34" ht="15" customHeight="1" s="44">
      <c r="A34" s="85" t="inlineStr">
        <is>
          <t>Sản phẩm</t>
        </is>
      </c>
      <c r="B34" s="85" t="inlineStr">
        <is>
          <t>Notion — Business / credits</t>
        </is>
      </c>
      <c r="C34" s="85" t="inlineStr">
        <is>
          <t>20 / 10 per 1.000</t>
        </is>
      </c>
      <c r="D34" s="85" t="inlineStr">
        <is>
          <t>$ / member / tháng</t>
        </is>
      </c>
      <c r="E34" s="86" t="inlineStr">
        <is>
          <t>notion.com/pricing</t>
        </is>
      </c>
    </row>
    <row r="35" ht="15" customHeight="1" s="44">
      <c r="A35" s="85" t="inlineStr">
        <is>
          <t>Benchmark</t>
        </is>
      </c>
      <c r="B35" s="85" t="inlineStr">
        <is>
          <t>Gross Margin AI-native 2026E</t>
        </is>
      </c>
      <c r="C35" s="85" t="inlineStr">
        <is>
          <t>≈ 53%</t>
        </is>
      </c>
      <c r="D35" s="85" t="inlineStr">
        <is>
          <t>%</t>
        </is>
      </c>
      <c r="E35" s="86" t="inlineStr">
        <is>
          <t>ICONIQ, 2026 State of AI: The Builder's Economy (07/2026)</t>
        </is>
      </c>
    </row>
    <row r="36" ht="15" customHeight="1" s="44">
      <c r="A36" s="85" t="inlineStr">
        <is>
          <t>Benchmark</t>
        </is>
      </c>
      <c r="B36" s="85" t="inlineStr">
        <is>
          <t>Gross Margin cloud (middle 50%)</t>
        </is>
      </c>
      <c r="C36" s="85" t="inlineStr">
        <is>
          <t>60 – 80%</t>
        </is>
      </c>
      <c r="D36" s="85" t="inlineStr">
        <is>
          <t>%</t>
        </is>
      </c>
      <c r="E36" s="86" t="inlineStr">
        <is>
          <t>Bessemer, Scaling to $100 Million (2024)</t>
        </is>
      </c>
    </row>
    <row r="37" ht="15" customHeight="1" s="44">
      <c r="A37" s="85" t="inlineStr">
        <is>
          <t>Benchmark</t>
        </is>
      </c>
      <c r="B37" s="85" t="inlineStr">
        <is>
          <t>Vertical AI — GM / model cost</t>
        </is>
      </c>
      <c r="C37" s="85" t="inlineStr">
        <is>
          <t>≈65% / ≈10% doanh thu</t>
        </is>
      </c>
      <c r="D37" s="85" t="inlineStr">
        <is>
          <t>%</t>
        </is>
      </c>
      <c r="E37" s="86" t="inlineStr">
        <is>
          <t>Bessemer, State of the Cloud 2024</t>
        </is>
      </c>
    </row>
    <row r="38" ht="15" customHeight="1" s="44">
      <c r="A38" s="85" t="inlineStr">
        <is>
          <t>Benchmark</t>
        </is>
      </c>
      <c r="B38" s="85" t="inlineStr">
        <is>
          <t>CAC payback SMB / Mid / Enterprise</t>
        </is>
      </c>
      <c r="C38" s="85" t="inlineStr">
        <is>
          <t>12 / 18 / 24</t>
        </is>
      </c>
      <c r="D38" s="85" t="inlineStr">
        <is>
          <t>tháng</t>
        </is>
      </c>
      <c r="E38" s="86" t="inlineStr">
        <is>
          <t>Bessemer, Scaling to $100 Million (2024)</t>
        </is>
      </c>
    </row>
    <row r="39" ht="15" customHeight="1" s="44">
      <c r="A39" s="85" t="inlineStr">
        <is>
          <t>Benchmark</t>
        </is>
      </c>
      <c r="B39" s="85" t="inlineStr">
        <is>
          <t>LTV : CAC</t>
        </is>
      </c>
      <c r="C39" s="85" t="inlineStr">
        <is>
          <t>≥ 3×</t>
        </is>
      </c>
      <c r="D39" s="85" t="inlineStr">
        <is>
          <t>lần</t>
        </is>
      </c>
      <c r="E39" s="86" t="inlineStr">
        <is>
          <t>David Skok, SaaS Metrics 2.0 (cập nhật 06/2026)</t>
        </is>
      </c>
    </row>
    <row r="40" ht="15" customHeight="1" s="44">
      <c r="A40" s="85" t="inlineStr">
        <is>
          <t>Benchmark</t>
        </is>
      </c>
      <c r="B40" s="85" t="inlineStr">
        <is>
          <t>Cost per opportunity 2026 (theo phân khúc)</t>
        </is>
      </c>
      <c r="C40" s="85" t="inlineStr">
        <is>
          <t>6.300 · 8.000 · 11.200</t>
        </is>
      </c>
      <c r="D40" s="85" t="inlineStr">
        <is>
          <t>$</t>
        </is>
      </c>
      <c r="E40" s="86" t="inlineStr">
        <is>
          <t>ICONIQ, State of GTM 2026 (tr.22)</t>
        </is>
      </c>
    </row>
    <row r="41" ht="15" customHeight="1" s="44">
      <c r="A41" s="85" t="inlineStr">
        <is>
          <t>Benchmark</t>
        </is>
      </c>
      <c r="B41" s="85" t="inlineStr">
        <is>
          <t>ACV sàn cho inside sales</t>
        </is>
      </c>
      <c r="C41" s="85" t="inlineStr">
        <is>
          <t>≈ 3.000</t>
        </is>
      </c>
      <c r="D41" s="85" t="inlineStr">
        <is>
          <t>$ / năm</t>
        </is>
      </c>
      <c r="E41" s="86" t="inlineStr">
        <is>
          <t>Tomasz Tunguz (2016) — có kèm giả định để tính lại</t>
        </is>
      </c>
    </row>
    <row r="43" ht="15" customHeight="1" s="44">
      <c r="A43" s="47" t="inlineStr">
        <is>
          <t>Lưu ý: trang marketing của nhà cung cấp có thể hiển thị giá cũ hơn trang docs. Ưu tiên trang docs / pricing chính thức.</t>
        </is>
      </c>
    </row>
  </sheetData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:language xmlns:dc="http://purl.org/dc/elements/1.1/">en-US</dc:language>
  <dcterms:created xmlns:dcterms="http://purl.org/dc/terms/" xmlns:xsi="http://www.w3.org/2001/XMLSchema-instance" xsi:type="dcterms:W3CDTF">2026-08-26T15:07:08Z</dcterms:created>
  <dcterms:modified xmlns:dcterms="http://purl.org/dc/terms/" xmlns:xsi="http://www.w3.org/2001/XMLSchema-instance" xsi:type="dcterms:W3CDTF">2026-08-27T14:58:38Z</dcterms:modified>
  <cp:revision>0</cp:revision>
</cp:coreProperties>
</file>